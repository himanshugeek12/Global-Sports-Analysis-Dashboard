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 Project\"/>
    </mc:Choice>
  </mc:AlternateContent>
  <xr:revisionPtr revIDLastSave="0" documentId="13_ncr:1_{4B61EC47-0EE8-4C76-A385-1052891F8C13}" xr6:coauthVersionLast="47" xr6:coauthVersionMax="47" xr10:uidLastSave="{00000000-0000-0000-0000-000000000000}"/>
  <bookViews>
    <workbookView xWindow="-120" yWindow="-120" windowWidth="24240" windowHeight="13020" firstSheet="2" activeTab="6" xr2:uid="{00000000-000D-0000-FFFF-FFFF00000000}"/>
  </bookViews>
  <sheets>
    <sheet name="Major sports" sheetId="4" r:id="rId1"/>
    <sheet name="Minor sports" sheetId="5" r:id="rId2"/>
    <sheet name="Countery vs Target" sheetId="6" r:id="rId3"/>
    <sheet name="Region vs Sum_player" sheetId="7" r:id="rId4"/>
    <sheet name="KPI" sheetId="12" r:id="rId5"/>
    <sheet name="sports data" sheetId="1" r:id="rId6"/>
    <sheet name="Global Sports Analysis" sheetId="8" r:id="rId7"/>
  </sheets>
  <definedNames>
    <definedName name="Slicer_Popularity_Level">#N/A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 i="12"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alcChain>
</file>

<file path=xl/sharedStrings.xml><?xml version="1.0" encoding="utf-8"?>
<sst xmlns="http://schemas.openxmlformats.org/spreadsheetml/2006/main" count="507" uniqueCount="125">
  <si>
    <t>Region</t>
  </si>
  <si>
    <t>2025-01-07</t>
  </si>
  <si>
    <t>2025-01-19</t>
  </si>
  <si>
    <t>2025-01-26</t>
  </si>
  <si>
    <t>2025-01-12</t>
  </si>
  <si>
    <t>2025-01-02</t>
  </si>
  <si>
    <t>2025-01-16</t>
  </si>
  <si>
    <t>2025-01-18</t>
  </si>
  <si>
    <t>2025-01-01</t>
  </si>
  <si>
    <t>2025-01-27</t>
  </si>
  <si>
    <t>2025-01-14</t>
  </si>
  <si>
    <t>2025-01-06</t>
  </si>
  <si>
    <t>2025-01-20</t>
  </si>
  <si>
    <t>2025-01-09</t>
  </si>
  <si>
    <t>2025-01-21</t>
  </si>
  <si>
    <t>2025-01-28</t>
  </si>
  <si>
    <t>2025-01-11</t>
  </si>
  <si>
    <t>2025-01-08</t>
  </si>
  <si>
    <t>2025-01-17</t>
  </si>
  <si>
    <t>2025-01-15</t>
  </si>
  <si>
    <t>2025-01-03</t>
  </si>
  <si>
    <t>2025-01-04</t>
  </si>
  <si>
    <t>2025-01-25</t>
  </si>
  <si>
    <t>2025-01-13</t>
  </si>
  <si>
    <t>Football (Soccer)</t>
  </si>
  <si>
    <t>Cricket</t>
  </si>
  <si>
    <t>Basketball</t>
  </si>
  <si>
    <t>Tennis</t>
  </si>
  <si>
    <t>Baseball</t>
  </si>
  <si>
    <t>American Football</t>
  </si>
  <si>
    <t>Ice Hockey</t>
  </si>
  <si>
    <t>Rugby</t>
  </si>
  <si>
    <t>Golf</t>
  </si>
  <si>
    <t>Formula 1</t>
  </si>
  <si>
    <t>Kabaddi</t>
  </si>
  <si>
    <t>Kho-Kho</t>
  </si>
  <si>
    <t>Sepak Takraw</t>
  </si>
  <si>
    <t>Futsal</t>
  </si>
  <si>
    <t>Handball</t>
  </si>
  <si>
    <t>Netball</t>
  </si>
  <si>
    <t>Lacrosse</t>
  </si>
  <si>
    <t>Squash</t>
  </si>
  <si>
    <t>Table Tennis</t>
  </si>
  <si>
    <t>Badminton</t>
  </si>
  <si>
    <t>Major Sports</t>
  </si>
  <si>
    <t>Minor Sports</t>
  </si>
  <si>
    <t>International</t>
  </si>
  <si>
    <t>Both</t>
  </si>
  <si>
    <t>National</t>
  </si>
  <si>
    <t>South Asia</t>
  </si>
  <si>
    <t>Western Europe</t>
  </si>
  <si>
    <t>North America</t>
  </si>
  <si>
    <t>East Asia</t>
  </si>
  <si>
    <t>Middle East</t>
  </si>
  <si>
    <t>Southeast Asia</t>
  </si>
  <si>
    <t>Eastern Europe</t>
  </si>
  <si>
    <t>South America</t>
  </si>
  <si>
    <t>Africa</t>
  </si>
  <si>
    <t>Oceania</t>
  </si>
  <si>
    <t>Central Asia</t>
  </si>
  <si>
    <t>Northern Europe</t>
  </si>
  <si>
    <t>Southern Europe</t>
  </si>
  <si>
    <t>Caribbean</t>
  </si>
  <si>
    <t>Central America</t>
  </si>
  <si>
    <t>West Africa</t>
  </si>
  <si>
    <t>East Africa</t>
  </si>
  <si>
    <t>Southern Africa</t>
  </si>
  <si>
    <t>North Africa</t>
  </si>
  <si>
    <t>Pacific Islands</t>
  </si>
  <si>
    <t>India</t>
  </si>
  <si>
    <t>United States</t>
  </si>
  <si>
    <t>United Kingdom</t>
  </si>
  <si>
    <t>China</t>
  </si>
  <si>
    <t>Germany</t>
  </si>
  <si>
    <t>Brazil</t>
  </si>
  <si>
    <t>Australia</t>
  </si>
  <si>
    <t>Canada</t>
  </si>
  <si>
    <t>Japan</t>
  </si>
  <si>
    <t>France</t>
  </si>
  <si>
    <t>South Africa</t>
  </si>
  <si>
    <t>Nigeria</t>
  </si>
  <si>
    <t>Kenya</t>
  </si>
  <si>
    <t>Egypt</t>
  </si>
  <si>
    <t>Morocco</t>
  </si>
  <si>
    <t>Mexico</t>
  </si>
  <si>
    <t>Argentina</t>
  </si>
  <si>
    <t>Chile</t>
  </si>
  <si>
    <t>Peru</t>
  </si>
  <si>
    <t>Colombia</t>
  </si>
  <si>
    <t>Saudi Arabia</t>
  </si>
  <si>
    <t>United Arab Emirates</t>
  </si>
  <si>
    <t>Qatar</t>
  </si>
  <si>
    <t>Iran</t>
  </si>
  <si>
    <t>Turkey</t>
  </si>
  <si>
    <t>Israel</t>
  </si>
  <si>
    <t>Thailand</t>
  </si>
  <si>
    <t>Indonesia</t>
  </si>
  <si>
    <t>Vietnam</t>
  </si>
  <si>
    <t>Malaysia</t>
  </si>
  <si>
    <t>Russia</t>
  </si>
  <si>
    <t>Ukraine</t>
  </si>
  <si>
    <t>Poland</t>
  </si>
  <si>
    <t>Romania</t>
  </si>
  <si>
    <t>Czech Republic</t>
  </si>
  <si>
    <t>Sweden</t>
  </si>
  <si>
    <t>Norway</t>
  </si>
  <si>
    <t>Finland</t>
  </si>
  <si>
    <t>Denmark</t>
  </si>
  <si>
    <t>Netherlands</t>
  </si>
  <si>
    <t>Country</t>
  </si>
  <si>
    <t>Registered_Players</t>
  </si>
  <si>
    <t>Primary_Score</t>
  </si>
  <si>
    <t>Secondary_Score</t>
  </si>
  <si>
    <t>Popularity_Level</t>
  </si>
  <si>
    <t>Target_Value</t>
  </si>
  <si>
    <t>Event_Date</t>
  </si>
  <si>
    <t>Record_id</t>
  </si>
  <si>
    <t>Total_Score</t>
  </si>
  <si>
    <t>Row Labels</t>
  </si>
  <si>
    <t>Grand Total</t>
  </si>
  <si>
    <t>Sum of Target_Value</t>
  </si>
  <si>
    <t>Sum of Registered_Players</t>
  </si>
  <si>
    <t>Sum of Total_Score</t>
  </si>
  <si>
    <t>Avg Score</t>
  </si>
  <si>
    <t>Count of Registered_Players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</si>
</sst>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[Global_Sports_Analytics_Dataset.xlsx]Minor sports!PivotTable4</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baseline="0">
                <a:solidFill>
                  <a:schemeClr val="bg1"/>
                </a:solidFill>
              </a:rPr>
              <a:t>Total Score by Minor Sports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732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50461642988"/>
          <c:y val="0.20573117833954965"/>
          <c:w val="0.80295095624603163"/>
          <c:h val="0.75216355850255556"/>
        </c:manualLayout>
      </c:layout>
      <c:barChart>
        <c:barDir val="bar"/>
        <c:grouping val="clustered"/>
        <c:varyColors val="0"/>
        <c:ser>
          <c:idx val="0"/>
          <c:order val="0"/>
          <c:tx>
            <c:strRef>
              <c:f>'Minor sports'!$B$3</c:f>
              <c:strCache>
                <c:ptCount val="1"/>
                <c:pt idx="0">
                  <c:v>Total</c:v>
                </c:pt>
              </c:strCache>
            </c:strRef>
          </c:tx>
          <c:spPr>
            <a:solidFill>
              <a:srgbClr val="1732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'Minor sports'!$A$4:$A$13</c:f>
              <c:strCache>
                <c:ptCount val="9"/>
                <c:pt idx="0">
                  <c:v>Futsal</c:v>
                </c:pt>
                <c:pt idx="1">
                  <c:v>Squash</c:v>
                </c:pt>
                <c:pt idx="2">
                  <c:v>Lacrosse</c:v>
                </c:pt>
                <c:pt idx="3">
                  <c:v>Kho-Kho</c:v>
                </c:pt>
                <c:pt idx="4">
                  <c:v>Sepak Takraw</c:v>
                </c:pt>
                <c:pt idx="5">
                  <c:v>Badminton</c:v>
                </c:pt>
                <c:pt idx="6">
                  <c:v>Handball</c:v>
                </c:pt>
                <c:pt idx="7">
                  <c:v>Kabaddi</c:v>
                </c:pt>
                <c:pt idx="8">
                  <c:v>Table Tennis</c:v>
                </c:pt>
              </c:strCache>
            </c:strRef>
          </c:cat>
          <c:val>
            <c:numRef>
              <c:f>'Minor sports'!$B$4:$B$13</c:f>
              <c:numCache>
                <c:formatCode>General</c:formatCode>
                <c:ptCount val="9"/>
                <c:pt idx="0">
                  <c:v>363</c:v>
                </c:pt>
                <c:pt idx="1">
                  <c:v>296</c:v>
                </c:pt>
                <c:pt idx="2">
                  <c:v>281</c:v>
                </c:pt>
                <c:pt idx="3">
                  <c:v>236</c:v>
                </c:pt>
                <c:pt idx="4">
                  <c:v>207</c:v>
                </c:pt>
                <c:pt idx="5">
                  <c:v>193</c:v>
                </c:pt>
                <c:pt idx="6">
                  <c:v>184</c:v>
                </c:pt>
                <c:pt idx="7">
                  <c:v>176</c:v>
                </c:pt>
                <c:pt idx="8">
                  <c:v>167</c:v>
                </c:pt>
              </c:numCache>
            </c:numRef>
          </c:val>
          <c:extLst>
            <c:ext xmlns:c16="http://schemas.microsoft.com/office/drawing/2014/chart" uri="{C3380CC4-5D6E-409C-BE32-E72D297353CC}">
              <c16:uniqueId val="{00000003-88A6-43D6-93E2-F40FE5C050C7}"/>
            </c:ext>
          </c:extLst>
        </c:ser>
        <c:dLbls>
          <c:dLblPos val="outEnd"/>
          <c:showLegendKey val="0"/>
          <c:showVal val="1"/>
          <c:showCatName val="0"/>
          <c:showSerName val="0"/>
          <c:showPercent val="0"/>
          <c:showBubbleSize val="0"/>
        </c:dLbls>
        <c:gapWidth val="219"/>
        <c:axId val="619572560"/>
        <c:axId val="619566736"/>
      </c:barChart>
      <c:catAx>
        <c:axId val="6195725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19566736"/>
        <c:crosses val="autoZero"/>
        <c:auto val="1"/>
        <c:lblAlgn val="ctr"/>
        <c:lblOffset val="100"/>
        <c:noMultiLvlLbl val="0"/>
      </c:catAx>
      <c:valAx>
        <c:axId val="619566736"/>
        <c:scaling>
          <c:orientation val="minMax"/>
        </c:scaling>
        <c:delete val="1"/>
        <c:axPos val="b"/>
        <c:numFmt formatCode="General" sourceLinked="1"/>
        <c:majorTickMark val="out"/>
        <c:minorTickMark val="none"/>
        <c:tickLblPos val="nextTo"/>
        <c:crossAx val="619572560"/>
        <c:crosses val="autoZero"/>
        <c:crossBetween val="between"/>
      </c:valAx>
      <c:spPr>
        <a:solidFill>
          <a:srgbClr val="2B4A7C"/>
        </a:solidFill>
      </c:spPr>
    </c:plotArea>
    <c:plotVisOnly val="1"/>
    <c:dispBlanksAs val="gap"/>
    <c:showDLblsOverMax val="0"/>
    <c:extLst/>
  </c:chart>
  <c:spPr>
    <a:solidFill>
      <a:srgbClr val="2B4A7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[Global_Sports_Analytics_Dataset.xlsx]Countery vs Target!PivotTable5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baseline="0">
                <a:solidFill>
                  <a:schemeClr val="bg1"/>
                </a:solidFill>
              </a:rPr>
              <a:t>Target of Each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a:noFill/>
          </a:ln>
          <a:effectLst>
            <a:glow>
              <a:schemeClr val="accent1">
                <a:alpha val="40000"/>
              </a:schemeClr>
            </a:glow>
          </a:effectLst>
        </c:spPr>
      </c:pivotFmt>
      <c:pivotFmt>
        <c:idx val="6"/>
        <c:spPr>
          <a:solidFill>
            <a:schemeClr val="accent1">
              <a:shade val="76000"/>
            </a:schemeClr>
          </a:solidFill>
          <a:ln>
            <a:noFill/>
          </a:ln>
          <a:effectLst>
            <a:glow>
              <a:schemeClr val="accent1">
                <a:alpha val="40000"/>
              </a:schemeClr>
            </a:glow>
          </a:effectLst>
        </c:spPr>
      </c:pivotFmt>
      <c:pivotFmt>
        <c:idx val="7"/>
        <c:spPr>
          <a:solidFill>
            <a:schemeClr val="accent1"/>
          </a:solidFill>
          <a:ln>
            <a:noFill/>
          </a:ln>
          <a:effectLst/>
        </c:spPr>
      </c:pivotFmt>
      <c:pivotFmt>
        <c:idx val="8"/>
        <c:spPr>
          <a:solidFill>
            <a:schemeClr val="accent1">
              <a:shade val="53000"/>
            </a:schemeClr>
          </a:solidFill>
          <a:ln>
            <a:noFill/>
          </a:ln>
          <a:effectLst>
            <a:glow>
              <a:schemeClr val="accent1">
                <a:alpha val="43000"/>
              </a:schemeClr>
            </a:glow>
          </a:effectLst>
        </c:spPr>
      </c:pivotFmt>
      <c:pivotFmt>
        <c:idx val="9"/>
        <c:spPr>
          <a:solidFill>
            <a:schemeClr val="accent1"/>
          </a:solidFill>
          <a:ln>
            <a:noFill/>
          </a:ln>
          <a:effectLst>
            <a:glow>
              <a:schemeClr val="accent1">
                <a:alpha val="40000"/>
              </a:schemeClr>
            </a:glow>
          </a:effectLst>
        </c:spPr>
      </c:pivotFmt>
      <c:pivotFmt>
        <c:idx val="10"/>
        <c:spPr>
          <a:solidFill>
            <a:schemeClr val="accent1">
              <a:tint val="54000"/>
            </a:schemeClr>
          </a:solidFill>
          <a:ln>
            <a:noFill/>
          </a:ln>
          <a:effectLst>
            <a:glow>
              <a:schemeClr val="accent1">
                <a:alpha val="40000"/>
              </a:schemeClr>
            </a:glow>
          </a:effectLst>
        </c:spPr>
      </c:pivotFmt>
    </c:pivotFmts>
    <c:plotArea>
      <c:layout>
        <c:manualLayout>
          <c:layoutTarget val="inner"/>
          <c:xMode val="edge"/>
          <c:yMode val="edge"/>
          <c:x val="0.29736548556430448"/>
          <c:y val="0.22008821813939924"/>
          <c:w val="0.38860258092738409"/>
          <c:h val="0.64767096821230674"/>
        </c:manualLayout>
      </c:layout>
      <c:doughnutChart>
        <c:varyColors val="1"/>
        <c:ser>
          <c:idx val="0"/>
          <c:order val="0"/>
          <c:tx>
            <c:strRef>
              <c:f>'Countery vs Target'!$B$3</c:f>
              <c:strCache>
                <c:ptCount val="1"/>
                <c:pt idx="0">
                  <c:v>Total</c:v>
                </c:pt>
              </c:strCache>
            </c:strRef>
          </c:tx>
          <c:spPr>
            <a:effectLst>
              <a:glow>
                <a:schemeClr val="accent1">
                  <a:alpha val="40000"/>
                </a:schemeClr>
              </a:glow>
            </a:effectLst>
          </c:spPr>
          <c:dPt>
            <c:idx val="0"/>
            <c:bubble3D val="0"/>
            <c:spPr>
              <a:solidFill>
                <a:schemeClr val="accent1">
                  <a:shade val="53000"/>
                </a:schemeClr>
              </a:solidFill>
              <a:ln>
                <a:noFill/>
              </a:ln>
              <a:effectLst>
                <a:glow>
                  <a:schemeClr val="accent1">
                    <a:alpha val="43000"/>
                  </a:schemeClr>
                </a:glow>
              </a:effectLst>
            </c:spPr>
            <c:extLst>
              <c:ext xmlns:c16="http://schemas.microsoft.com/office/drawing/2014/chart" uri="{C3380CC4-5D6E-409C-BE32-E72D297353CC}">
                <c16:uniqueId val="{00000011-CB15-4E2A-8191-7560E0B3B572}"/>
              </c:ext>
            </c:extLst>
          </c:dPt>
          <c:dPt>
            <c:idx val="1"/>
            <c:bubble3D val="0"/>
            <c:spPr>
              <a:solidFill>
                <a:schemeClr val="accent1"/>
              </a:solidFill>
              <a:ln>
                <a:noFill/>
              </a:ln>
              <a:effectLst>
                <a:glow>
                  <a:schemeClr val="accent1">
                    <a:alpha val="40000"/>
                  </a:schemeClr>
                </a:glow>
              </a:effectLst>
            </c:spPr>
            <c:extLst>
              <c:ext xmlns:c16="http://schemas.microsoft.com/office/drawing/2014/chart" uri="{C3380CC4-5D6E-409C-BE32-E72D297353CC}">
                <c16:uniqueId val="{00000010-CB15-4E2A-8191-7560E0B3B572}"/>
              </c:ext>
            </c:extLst>
          </c:dPt>
          <c:dPt>
            <c:idx val="2"/>
            <c:bubble3D val="0"/>
            <c:spPr>
              <a:solidFill>
                <a:schemeClr val="accent1">
                  <a:tint val="77000"/>
                </a:schemeClr>
              </a:solidFill>
              <a:ln>
                <a:noFill/>
              </a:ln>
              <a:effectLst>
                <a:glow>
                  <a:schemeClr val="accent1">
                    <a:alpha val="40000"/>
                  </a:schemeClr>
                </a:glow>
              </a:effectLst>
            </c:spPr>
            <c:extLst>
              <c:ext xmlns:c16="http://schemas.microsoft.com/office/drawing/2014/chart" uri="{C3380CC4-5D6E-409C-BE32-E72D297353CC}">
                <c16:uniqueId val="{0000000F-CB15-4E2A-8191-7560E0B3B572}"/>
              </c:ext>
            </c:extLst>
          </c:dPt>
          <c:dPt>
            <c:idx val="3"/>
            <c:bubble3D val="0"/>
            <c:spPr>
              <a:solidFill>
                <a:schemeClr val="accent1">
                  <a:tint val="30000"/>
                </a:schemeClr>
              </a:solidFill>
              <a:ln>
                <a:noFill/>
              </a:ln>
              <a:effectLst>
                <a:glow>
                  <a:schemeClr val="accent1">
                    <a:alpha val="40000"/>
                  </a:schemeClr>
                </a:glow>
              </a:effectLst>
            </c:spPr>
            <c:extLst>
              <c:ext xmlns:c16="http://schemas.microsoft.com/office/drawing/2014/chart" uri="{C3380CC4-5D6E-409C-BE32-E72D297353CC}">
                <c16:uniqueId val="{00000007-9E3E-418C-A250-0FE7026272F1}"/>
              </c:ext>
            </c:extLst>
          </c:dPt>
          <c:dPt>
            <c:idx val="4"/>
            <c:bubble3D val="0"/>
            <c:spPr>
              <a:solidFill>
                <a:schemeClr val="accent1">
                  <a:tint val="95000"/>
                </a:schemeClr>
              </a:solidFill>
              <a:ln>
                <a:noFill/>
              </a:ln>
              <a:effectLst>
                <a:glow>
                  <a:schemeClr val="accent1">
                    <a:alpha val="40000"/>
                  </a:schemeClr>
                </a:glow>
              </a:effectLst>
            </c:spPr>
            <c:extLst>
              <c:ext xmlns:c16="http://schemas.microsoft.com/office/drawing/2014/chart" uri="{C3380CC4-5D6E-409C-BE32-E72D297353CC}">
                <c16:uniqueId val="{00000009-9E3E-418C-A250-0FE7026272F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'Countery vs Target'!$A$4:$A$7</c:f>
              <c:strCache>
                <c:ptCount val="3"/>
                <c:pt idx="0">
                  <c:v>Australia</c:v>
                </c:pt>
                <c:pt idx="1">
                  <c:v>Russia</c:v>
                </c:pt>
                <c:pt idx="2">
                  <c:v>South Africa</c:v>
                </c:pt>
              </c:strCache>
            </c:strRef>
          </c:cat>
          <c:val>
            <c:numRef>
              <c:f>'Countery vs Target'!$B$4:$B$7</c:f>
              <c:numCache>
                <c:formatCode>General</c:formatCode>
                <c:ptCount val="3"/>
                <c:pt idx="0">
                  <c:v>3759</c:v>
                </c:pt>
                <c:pt idx="1">
                  <c:v>3548</c:v>
                </c:pt>
                <c:pt idx="2">
                  <c:v>784</c:v>
                </c:pt>
              </c:numCache>
            </c:numRef>
          </c:val>
          <c:extLst>
            <c:ext xmlns:c16="http://schemas.microsoft.com/office/drawing/2014/chart" uri="{C3380CC4-5D6E-409C-BE32-E72D297353CC}">
              <c16:uniqueId val="{0000000D-CB15-4E2A-8191-7560E0B3B5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2B4A7C"/>
    </a:solidFill>
    <a:ln w="9525" cap="flat" cmpd="sng" algn="ctr">
      <a:solidFill>
        <a:schemeClr val="accent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[Global_Sports_Analytics_Dataset.xlsx]Region vs Sum_player!PivotTable6</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baseline="0">
                <a:solidFill>
                  <a:schemeClr val="bg1"/>
                </a:solidFill>
              </a:rPr>
              <a:t>Register Players by Regions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732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Sum_player'!$B$3</c:f>
              <c:strCache>
                <c:ptCount val="1"/>
                <c:pt idx="0">
                  <c:v>Total</c:v>
                </c:pt>
              </c:strCache>
            </c:strRef>
          </c:tx>
          <c:spPr>
            <a:solidFill>
              <a:srgbClr val="1732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Sum_player'!$A$4:$A$8</c:f>
              <c:strCache>
                <c:ptCount val="4"/>
                <c:pt idx="0">
                  <c:v>South America</c:v>
                </c:pt>
                <c:pt idx="1">
                  <c:v>Central Asia</c:v>
                </c:pt>
                <c:pt idx="2">
                  <c:v>East Africa</c:v>
                </c:pt>
                <c:pt idx="3">
                  <c:v>Africa</c:v>
                </c:pt>
              </c:strCache>
            </c:strRef>
          </c:cat>
          <c:val>
            <c:numRef>
              <c:f>'Region vs Sum_player'!$B$4:$B$8</c:f>
              <c:numCache>
                <c:formatCode>General</c:formatCode>
                <c:ptCount val="4"/>
                <c:pt idx="0">
                  <c:v>477</c:v>
                </c:pt>
                <c:pt idx="1">
                  <c:v>4854</c:v>
                </c:pt>
                <c:pt idx="2">
                  <c:v>4943</c:v>
                </c:pt>
                <c:pt idx="3">
                  <c:v>13263</c:v>
                </c:pt>
              </c:numCache>
            </c:numRef>
          </c:val>
          <c:extLst>
            <c:ext xmlns:c16="http://schemas.microsoft.com/office/drawing/2014/chart" uri="{C3380CC4-5D6E-409C-BE32-E72D297353CC}">
              <c16:uniqueId val="{00000003-A06D-4780-827C-AD39E806A66E}"/>
            </c:ext>
          </c:extLst>
        </c:ser>
        <c:dLbls>
          <c:dLblPos val="outEnd"/>
          <c:showLegendKey val="0"/>
          <c:showVal val="1"/>
          <c:showCatName val="0"/>
          <c:showSerName val="0"/>
          <c:showPercent val="0"/>
          <c:showBubbleSize val="0"/>
        </c:dLbls>
        <c:gapWidth val="219"/>
        <c:overlap val="-27"/>
        <c:axId val="619572560"/>
        <c:axId val="619566736"/>
      </c:barChart>
      <c:catAx>
        <c:axId val="61957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19566736"/>
        <c:crosses val="autoZero"/>
        <c:auto val="1"/>
        <c:lblAlgn val="ctr"/>
        <c:lblOffset val="100"/>
        <c:noMultiLvlLbl val="0"/>
      </c:catAx>
      <c:valAx>
        <c:axId val="619566736"/>
        <c:scaling>
          <c:orientation val="minMax"/>
        </c:scaling>
        <c:delete val="1"/>
        <c:axPos val="l"/>
        <c:numFmt formatCode="General" sourceLinked="1"/>
        <c:majorTickMark val="out"/>
        <c:minorTickMark val="none"/>
        <c:tickLblPos val="nextTo"/>
        <c:crossAx val="619572560"/>
        <c:crosses val="autoZero"/>
        <c:crossBetween val="between"/>
      </c:valAx>
      <c:spPr>
        <a:solidFill>
          <a:srgbClr val="2B4A7C"/>
        </a:solidFill>
      </c:spPr>
    </c:plotArea>
    <c:plotVisOnly val="1"/>
    <c:dispBlanksAs val="gap"/>
    <c:showDLblsOverMax val="0"/>
    <c:extLst/>
  </c:chart>
  <c:spPr>
    <a:solidFill>
      <a:srgbClr val="2B4A7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[Global_Sports_Analytics_Dataset.xlsx]Major sports!PivotTable3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Total</a:t>
            </a:r>
            <a:r>
              <a:rPr lang="en-US" sz="1800" b="1" baseline="0">
                <a:solidFill>
                  <a:schemeClr val="bg1"/>
                </a:solidFill>
              </a:rPr>
              <a:t> Score by Major Sports</a:t>
            </a:r>
          </a:p>
        </c:rich>
      </c:tx>
      <c:layout>
        <c:manualLayout>
          <c:xMode val="edge"/>
          <c:yMode val="edge"/>
          <c:x val="0.2553937787561138"/>
          <c:y val="3.6730945821854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2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031834210907686E-2"/>
          <c:y val="0.19488325868352577"/>
          <c:w val="0.95815501664289116"/>
          <c:h val="0.44766524118616902"/>
        </c:manualLayout>
      </c:layout>
      <c:barChart>
        <c:barDir val="col"/>
        <c:grouping val="clustered"/>
        <c:varyColors val="0"/>
        <c:ser>
          <c:idx val="0"/>
          <c:order val="0"/>
          <c:tx>
            <c:strRef>
              <c:f>'Major sports'!$B$3</c:f>
              <c:strCache>
                <c:ptCount val="1"/>
                <c:pt idx="0">
                  <c:v>Total</c:v>
                </c:pt>
              </c:strCache>
            </c:strRef>
          </c:tx>
          <c:spPr>
            <a:solidFill>
              <a:srgbClr val="1732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'Major sports'!$A$4:$A$13</c:f>
              <c:strCache>
                <c:ptCount val="9"/>
                <c:pt idx="0">
                  <c:v>Golf</c:v>
                </c:pt>
                <c:pt idx="1">
                  <c:v>Football (Soccer)</c:v>
                </c:pt>
                <c:pt idx="2">
                  <c:v>Baseball</c:v>
                </c:pt>
                <c:pt idx="3">
                  <c:v>Formula 1</c:v>
                </c:pt>
                <c:pt idx="4">
                  <c:v>Basketball</c:v>
                </c:pt>
                <c:pt idx="5">
                  <c:v>Cricket</c:v>
                </c:pt>
                <c:pt idx="6">
                  <c:v>Ice Hockey</c:v>
                </c:pt>
                <c:pt idx="7">
                  <c:v>Rugby</c:v>
                </c:pt>
                <c:pt idx="8">
                  <c:v>Tennis</c:v>
                </c:pt>
              </c:strCache>
            </c:strRef>
          </c:cat>
          <c:val>
            <c:numRef>
              <c:f>'Major sports'!$B$4:$B$13</c:f>
              <c:numCache>
                <c:formatCode>General</c:formatCode>
                <c:ptCount val="9"/>
                <c:pt idx="0">
                  <c:v>167</c:v>
                </c:pt>
                <c:pt idx="1">
                  <c:v>176</c:v>
                </c:pt>
                <c:pt idx="2">
                  <c:v>184</c:v>
                </c:pt>
                <c:pt idx="3">
                  <c:v>193</c:v>
                </c:pt>
                <c:pt idx="4">
                  <c:v>207</c:v>
                </c:pt>
                <c:pt idx="5">
                  <c:v>236</c:v>
                </c:pt>
                <c:pt idx="6">
                  <c:v>281</c:v>
                </c:pt>
                <c:pt idx="7">
                  <c:v>296</c:v>
                </c:pt>
                <c:pt idx="8">
                  <c:v>363</c:v>
                </c:pt>
              </c:numCache>
            </c:numRef>
          </c:val>
          <c:extLst>
            <c:ext xmlns:c16="http://schemas.microsoft.com/office/drawing/2014/chart" uri="{C3380CC4-5D6E-409C-BE32-E72D297353CC}">
              <c16:uniqueId val="{00000000-ADFB-4392-87A1-8EB1CA7BECED}"/>
            </c:ext>
          </c:extLst>
        </c:ser>
        <c:dLbls>
          <c:dLblPos val="outEnd"/>
          <c:showLegendKey val="0"/>
          <c:showVal val="1"/>
          <c:showCatName val="0"/>
          <c:showSerName val="0"/>
          <c:showPercent val="0"/>
          <c:showBubbleSize val="0"/>
        </c:dLbls>
        <c:gapWidth val="219"/>
        <c:overlap val="-27"/>
        <c:axId val="619572560"/>
        <c:axId val="619566736"/>
      </c:barChart>
      <c:catAx>
        <c:axId val="61957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619566736"/>
        <c:crosses val="autoZero"/>
        <c:auto val="1"/>
        <c:lblAlgn val="ctr"/>
        <c:lblOffset val="100"/>
        <c:noMultiLvlLbl val="0"/>
      </c:catAx>
      <c:valAx>
        <c:axId val="619566736"/>
        <c:scaling>
          <c:orientation val="minMax"/>
        </c:scaling>
        <c:delete val="1"/>
        <c:axPos val="l"/>
        <c:numFmt formatCode="General" sourceLinked="1"/>
        <c:majorTickMark val="out"/>
        <c:minorTickMark val="none"/>
        <c:tickLblPos val="nextTo"/>
        <c:crossAx val="61957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B4A7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Global Sports Analysis'!A1"/></Relationships>
</file>

<file path=xl/drawings/_rels/drawing2.xml.rels><?xml version="1.0" encoding="UTF-8" standalone="yes"?>
<Relationships xmlns="http://schemas.openxmlformats.org/package/2006/relationships"><Relationship Id="rId1" Type="http://schemas.openxmlformats.org/officeDocument/2006/relationships/hyperlink" Target="#'Global Sports Analysis'!A1"/></Relationships>
</file>

<file path=xl/drawings/_rels/drawing3.xml.rels><?xml version="1.0" encoding="UTF-8" standalone="yes"?>
<Relationships xmlns="http://schemas.openxmlformats.org/package/2006/relationships"><Relationship Id="rId1" Type="http://schemas.openxmlformats.org/officeDocument/2006/relationships/hyperlink" Target="#'Global Sports Analysis'!A1"/></Relationships>
</file>

<file path=xl/drawings/_rels/drawing4.xml.rels><?xml version="1.0" encoding="UTF-8" standalone="yes"?>
<Relationships xmlns="http://schemas.openxmlformats.org/package/2006/relationships"><Relationship Id="rId1" Type="http://schemas.openxmlformats.org/officeDocument/2006/relationships/hyperlink" Target="#'Global Sports Analysis'!A1"/></Relationships>
</file>

<file path=xl/drawings/_rels/drawing5.xml.rels><?xml version="1.0" encoding="UTF-8" standalone="yes"?>
<Relationships xmlns="http://schemas.openxmlformats.org/package/2006/relationships"><Relationship Id="rId1" Type="http://schemas.openxmlformats.org/officeDocument/2006/relationships/hyperlink" Target="#'Global Sports Analysis'!A1"/></Relationships>
</file>

<file path=xl/drawings/_rels/drawing6.xml.rels><?xml version="1.0" encoding="UTF-8" standalone="yes"?>
<Relationships xmlns="http://schemas.openxmlformats.org/package/2006/relationships"><Relationship Id="rId8" Type="http://schemas.openxmlformats.org/officeDocument/2006/relationships/hyperlink" Target="#KPI!A9"/><Relationship Id="rId3" Type="http://schemas.openxmlformats.org/officeDocument/2006/relationships/chart" Target="../charts/chart2.xml"/><Relationship Id="rId7" Type="http://schemas.openxmlformats.org/officeDocument/2006/relationships/hyperlink" Target="#KPI!A5"/><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Countery vs Target'!A1"/><Relationship Id="rId5" Type="http://schemas.openxmlformats.org/officeDocument/2006/relationships/hyperlink" Target="#'Major sports'!A1"/><Relationship Id="rId10" Type="http://schemas.openxmlformats.org/officeDocument/2006/relationships/hyperlink" Target="#'Region vs Sum_player'!A1"/><Relationship Id="rId4" Type="http://schemas.openxmlformats.org/officeDocument/2006/relationships/chart" Target="../charts/chart3.xml"/><Relationship Id="rId9" Type="http://schemas.openxmlformats.org/officeDocument/2006/relationships/hyperlink" Target="#'Minor sports'!A1"/></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161924</xdr:rowOff>
    </xdr:from>
    <xdr:to>
      <xdr:col>6</xdr:col>
      <xdr:colOff>400050</xdr:colOff>
      <xdr:row>3</xdr:row>
      <xdr:rowOff>171449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318BB92-1218-481B-A9B3-4E133BD14DE7}"/>
            </a:ext>
          </a:extLst>
        </xdr:cNvPr>
        <xdr:cNvSpPr/>
      </xdr:nvSpPr>
      <xdr:spPr>
        <a:xfrm>
          <a:off x="3590925" y="352424"/>
          <a:ext cx="1619250"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Back to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0</xdr:rowOff>
    </xdr:from>
    <xdr:to>
      <xdr:col>6</xdr:col>
      <xdr:colOff>400050</xdr:colOff>
      <xdr:row>5</xdr:row>
      <xdr:rowOff>9525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48F8A6F-B54B-4E53-AD3D-74A98E6AF64E}"/>
            </a:ext>
          </a:extLst>
        </xdr:cNvPr>
        <xdr:cNvSpPr/>
      </xdr:nvSpPr>
      <xdr:spPr>
        <a:xfrm>
          <a:off x="3305175" y="571500"/>
          <a:ext cx="1619250"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Back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0</xdr:rowOff>
    </xdr:from>
    <xdr:to>
      <xdr:col>6</xdr:col>
      <xdr:colOff>400050</xdr:colOff>
      <xdr:row>5</xdr:row>
      <xdr:rowOff>9525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1E54BBF-E002-40D6-86B2-6F55B3D43CE4}"/>
            </a:ext>
          </a:extLst>
        </xdr:cNvPr>
        <xdr:cNvSpPr/>
      </xdr:nvSpPr>
      <xdr:spPr>
        <a:xfrm>
          <a:off x="3400425" y="571500"/>
          <a:ext cx="1619250"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Back to Dashboard</a:t>
          </a:r>
        </a:p>
      </xdr:txBody>
    </xdr:sp>
    <xdr:clientData/>
  </xdr:twoCellAnchor>
  <xdr:oneCellAnchor>
    <xdr:from>
      <xdr:col>4</xdr:col>
      <xdr:colOff>0</xdr:colOff>
      <xdr:row>10</xdr:row>
      <xdr:rowOff>0</xdr:rowOff>
    </xdr:from>
    <xdr:ext cx="1828800" cy="1657350"/>
    <mc:AlternateContent xmlns:mc="http://schemas.openxmlformats.org/markup-compatibility/2006" xmlns:a14="http://schemas.microsoft.com/office/drawing/2010/main">
      <mc:Choice Requires="a14">
        <xdr:graphicFrame macro="">
          <xdr:nvGraphicFramePr>
            <xdr:cNvPr id="3" name="Popularity_Level 2">
              <a:extLst>
                <a:ext uri="{FF2B5EF4-FFF2-40B4-BE49-F238E27FC236}">
                  <a16:creationId xmlns:a16="http://schemas.microsoft.com/office/drawing/2014/main" id="{D61CE09F-8CD7-42D6-8CF6-C2EF8CF08BB7}"/>
                </a:ext>
              </a:extLst>
            </xdr:cNvPr>
            <xdr:cNvGraphicFramePr/>
          </xdr:nvGraphicFramePr>
          <xdr:xfrm>
            <a:off x="0" y="0"/>
            <a:ext cx="0" cy="0"/>
          </xdr:xfrm>
          <a:graphic>
            <a:graphicData uri="http://schemas.microsoft.com/office/drawing/2010/slicer">
              <sle:slicer xmlns:sle="http://schemas.microsoft.com/office/drawing/2010/slicer" name="Popularity_Level 2"/>
            </a:graphicData>
          </a:graphic>
        </xdr:graphicFrame>
      </mc:Choice>
      <mc:Fallback xmlns="">
        <xdr:sp macro="" textlink="">
          <xdr:nvSpPr>
            <xdr:cNvPr id="0" name=""/>
            <xdr:cNvSpPr>
              <a:spLocks noTextEdit="1"/>
            </xdr:cNvSpPr>
          </xdr:nvSpPr>
          <xdr:spPr>
            <a:xfrm>
              <a:off x="3400425" y="1905000"/>
              <a:ext cx="18288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6</xdr:col>
      <xdr:colOff>400050</xdr:colOff>
      <xdr:row>4</xdr:row>
      <xdr:rowOff>9525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CDC121F-7E37-460B-89C7-6C42DE497DEE}"/>
            </a:ext>
          </a:extLst>
        </xdr:cNvPr>
        <xdr:cNvSpPr/>
      </xdr:nvSpPr>
      <xdr:spPr>
        <a:xfrm>
          <a:off x="3819525" y="381000"/>
          <a:ext cx="1619250"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Back to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390525</xdr:colOff>
      <xdr:row>9</xdr:row>
      <xdr:rowOff>28575</xdr:rowOff>
    </xdr:from>
    <xdr:to>
      <xdr:col>8</xdr:col>
      <xdr:colOff>390525</xdr:colOff>
      <xdr:row>22</xdr:row>
      <xdr:rowOff>76200</xdr:rowOff>
    </xdr:to>
    <mc:AlternateContent xmlns:mc="http://schemas.openxmlformats.org/markup-compatibility/2006" xmlns:a14="http://schemas.microsoft.com/office/drawing/2010/main">
      <mc:Choice Requires="a14">
        <xdr:graphicFrame macro="">
          <xdr:nvGraphicFramePr>
            <xdr:cNvPr id="2" name="Popularity_Level">
              <a:extLst>
                <a:ext uri="{FF2B5EF4-FFF2-40B4-BE49-F238E27FC236}">
                  <a16:creationId xmlns:a16="http://schemas.microsoft.com/office/drawing/2014/main" id="{B12EE21C-F3BA-4053-9984-AFCE25686688}"/>
                </a:ext>
              </a:extLst>
            </xdr:cNvPr>
            <xdr:cNvGraphicFramePr/>
          </xdr:nvGraphicFramePr>
          <xdr:xfrm>
            <a:off x="0" y="0"/>
            <a:ext cx="0" cy="0"/>
          </xdr:xfrm>
          <a:graphic>
            <a:graphicData uri="http://schemas.microsoft.com/office/drawing/2010/slicer">
              <sle:slicer xmlns:sle="http://schemas.microsoft.com/office/drawing/2010/slicer" name="Popularity_Level"/>
            </a:graphicData>
          </a:graphic>
        </xdr:graphicFrame>
      </mc:Choice>
      <mc:Fallback xmlns="">
        <xdr:sp macro="" textlink="">
          <xdr:nvSpPr>
            <xdr:cNvPr id="0" name=""/>
            <xdr:cNvSpPr>
              <a:spLocks noTextEdit="1"/>
            </xdr:cNvSpPr>
          </xdr:nvSpPr>
          <xdr:spPr>
            <a:xfrm>
              <a:off x="7191375" y="1743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xdr:row>
      <xdr:rowOff>0</xdr:rowOff>
    </xdr:from>
    <xdr:to>
      <xdr:col>7</xdr:col>
      <xdr:colOff>400050</xdr:colOff>
      <xdr:row>4</xdr:row>
      <xdr:rowOff>9525</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9B189373-B98D-4323-80E9-2FD48F9D523B}"/>
            </a:ext>
          </a:extLst>
        </xdr:cNvPr>
        <xdr:cNvSpPr/>
      </xdr:nvSpPr>
      <xdr:spPr>
        <a:xfrm>
          <a:off x="3819525" y="381000"/>
          <a:ext cx="1619250" cy="3905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Back to 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0</xdr:row>
      <xdr:rowOff>142874</xdr:rowOff>
    </xdr:from>
    <xdr:to>
      <xdr:col>3</xdr:col>
      <xdr:colOff>257174</xdr:colOff>
      <xdr:row>35</xdr:row>
      <xdr:rowOff>38099</xdr:rowOff>
    </xdr:to>
    <xdr:sp macro="" textlink="">
      <xdr:nvSpPr>
        <xdr:cNvPr id="4" name="Rectangle: Rounded Corners 3">
          <a:extLst>
            <a:ext uri="{FF2B5EF4-FFF2-40B4-BE49-F238E27FC236}">
              <a16:creationId xmlns:a16="http://schemas.microsoft.com/office/drawing/2014/main" id="{9E37497A-6013-43F6-AB9B-926AD4D4CD55}"/>
            </a:ext>
          </a:extLst>
        </xdr:cNvPr>
        <xdr:cNvSpPr/>
      </xdr:nvSpPr>
      <xdr:spPr>
        <a:xfrm>
          <a:off x="85725" y="142874"/>
          <a:ext cx="2000249" cy="6562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0</xdr:rowOff>
    </xdr:from>
    <xdr:to>
      <xdr:col>25</xdr:col>
      <xdr:colOff>428626</xdr:colOff>
      <xdr:row>35</xdr:row>
      <xdr:rowOff>152400</xdr:rowOff>
    </xdr:to>
    <xdr:sp macro="" textlink="">
      <xdr:nvSpPr>
        <xdr:cNvPr id="5" name="Rectangle 4">
          <a:extLst>
            <a:ext uri="{FF2B5EF4-FFF2-40B4-BE49-F238E27FC236}">
              <a16:creationId xmlns:a16="http://schemas.microsoft.com/office/drawing/2014/main" id="{91BA4407-1999-457A-8817-93D82E08C1A6}"/>
            </a:ext>
          </a:extLst>
        </xdr:cNvPr>
        <xdr:cNvSpPr/>
      </xdr:nvSpPr>
      <xdr:spPr>
        <a:xfrm>
          <a:off x="38100" y="0"/>
          <a:ext cx="15630526" cy="6819900"/>
        </a:xfrm>
        <a:prstGeom prst="rect">
          <a:avLst/>
        </a:prstGeom>
        <a:solidFill>
          <a:srgbClr val="16314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447675</xdr:colOff>
      <xdr:row>0</xdr:row>
      <xdr:rowOff>114302</xdr:rowOff>
    </xdr:from>
    <xdr:to>
      <xdr:col>2</xdr:col>
      <xdr:colOff>533401</xdr:colOff>
      <xdr:row>6</xdr:row>
      <xdr:rowOff>171450</xdr:rowOff>
    </xdr:to>
    <xdr:pic>
      <xdr:nvPicPr>
        <xdr:cNvPr id="11" name="Picture 10">
          <a:extLst>
            <a:ext uri="{FF2B5EF4-FFF2-40B4-BE49-F238E27FC236}">
              <a16:creationId xmlns:a16="http://schemas.microsoft.com/office/drawing/2014/main" id="{373C0C81-EB12-41BB-89E6-6653B2A96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14302"/>
          <a:ext cx="1304926" cy="1200148"/>
        </a:xfrm>
        <a:prstGeom prst="rect">
          <a:avLst/>
        </a:prstGeom>
      </xdr:spPr>
    </xdr:pic>
    <xdr:clientData/>
  </xdr:twoCellAnchor>
  <xdr:twoCellAnchor>
    <xdr:from>
      <xdr:col>3</xdr:col>
      <xdr:colOff>495300</xdr:colOff>
      <xdr:row>21</xdr:row>
      <xdr:rowOff>57149</xdr:rowOff>
    </xdr:from>
    <xdr:to>
      <xdr:col>13</xdr:col>
      <xdr:colOff>476250</xdr:colOff>
      <xdr:row>35</xdr:row>
      <xdr:rowOff>104774</xdr:rowOff>
    </xdr:to>
    <xdr:graphicFrame macro="">
      <xdr:nvGraphicFramePr>
        <xdr:cNvPr id="13" name="Chart 1">
          <a:extLst>
            <a:ext uri="{FF2B5EF4-FFF2-40B4-BE49-F238E27FC236}">
              <a16:creationId xmlns:a16="http://schemas.microsoft.com/office/drawing/2014/main" id="{756F8A4E-8345-4053-BC00-09986976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523875</xdr:colOff>
      <xdr:row>5</xdr:row>
      <xdr:rowOff>123826</xdr:rowOff>
    </xdr:from>
    <xdr:to>
      <xdr:col>24</xdr:col>
      <xdr:colOff>276225</xdr:colOff>
      <xdr:row>21</xdr:row>
      <xdr:rowOff>28576</xdr:rowOff>
    </xdr:to>
    <xdr:graphicFrame macro="">
      <xdr:nvGraphicFramePr>
        <xdr:cNvPr id="14" name="Chart 1">
          <a:extLst>
            <a:ext uri="{FF2B5EF4-FFF2-40B4-BE49-F238E27FC236}">
              <a16:creationId xmlns:a16="http://schemas.microsoft.com/office/drawing/2014/main" id="{315FE002-B421-443E-BC17-E6253D27C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514351</xdr:colOff>
      <xdr:row>21</xdr:row>
      <xdr:rowOff>76200</xdr:rowOff>
    </xdr:from>
    <xdr:to>
      <xdr:col>24</xdr:col>
      <xdr:colOff>276225</xdr:colOff>
      <xdr:row>35</xdr:row>
      <xdr:rowOff>76199</xdr:rowOff>
    </xdr:to>
    <xdr:graphicFrame macro="">
      <xdr:nvGraphicFramePr>
        <xdr:cNvPr id="15" name="Chart 1">
          <a:extLst>
            <a:ext uri="{FF2B5EF4-FFF2-40B4-BE49-F238E27FC236}">
              <a16:creationId xmlns:a16="http://schemas.microsoft.com/office/drawing/2014/main" id="{FD6EB392-24A5-4FA3-832A-046895DDC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9525</xdr:colOff>
      <xdr:row>0</xdr:row>
      <xdr:rowOff>57151</xdr:rowOff>
    </xdr:from>
    <xdr:to>
      <xdr:col>24</xdr:col>
      <xdr:colOff>352424</xdr:colOff>
      <xdr:row>5</xdr:row>
      <xdr:rowOff>19051</xdr:rowOff>
    </xdr:to>
    <mc:AlternateContent xmlns:mc="http://schemas.openxmlformats.org/markup-compatibility/2006" xmlns:a14="http://schemas.microsoft.com/office/drawing/2010/main">
      <mc:Choice Requires="a14">
        <xdr:graphicFrame macro="">
          <xdr:nvGraphicFramePr>
            <xdr:cNvPr id="18" name="Popularity_Level 1">
              <a:extLst>
                <a:ext uri="{FF2B5EF4-FFF2-40B4-BE49-F238E27FC236}">
                  <a16:creationId xmlns:a16="http://schemas.microsoft.com/office/drawing/2014/main" id="{466C2EB1-769B-4A59-AE24-EA87534C4E07}"/>
                </a:ext>
              </a:extLst>
            </xdr:cNvPr>
            <xdr:cNvGraphicFramePr/>
          </xdr:nvGraphicFramePr>
          <xdr:xfrm>
            <a:off x="0" y="0"/>
            <a:ext cx="0" cy="0"/>
          </xdr:xfrm>
          <a:graphic>
            <a:graphicData uri="http://schemas.microsoft.com/office/drawing/2010/slicer">
              <sle:slicer xmlns:sle="http://schemas.microsoft.com/office/drawing/2010/slicer" name="Popularity_Level 1"/>
            </a:graphicData>
          </a:graphic>
        </xdr:graphicFrame>
      </mc:Choice>
      <mc:Fallback xmlns="">
        <xdr:sp macro="" textlink="">
          <xdr:nvSpPr>
            <xdr:cNvPr id="0" name=""/>
            <xdr:cNvSpPr>
              <a:spLocks noTextEdit="1"/>
            </xdr:cNvSpPr>
          </xdr:nvSpPr>
          <xdr:spPr>
            <a:xfrm>
              <a:off x="11591925" y="57151"/>
              <a:ext cx="339089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8</xdr:row>
      <xdr:rowOff>114300</xdr:rowOff>
    </xdr:from>
    <xdr:to>
      <xdr:col>3</xdr:col>
      <xdr:colOff>342900</xdr:colOff>
      <xdr:row>12</xdr:row>
      <xdr:rowOff>85725</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E286DDCE-3903-4269-A10F-CAA01EDDF924}"/>
            </a:ext>
          </a:extLst>
        </xdr:cNvPr>
        <xdr:cNvSpPr/>
      </xdr:nvSpPr>
      <xdr:spPr>
        <a:xfrm>
          <a:off x="133350" y="1638300"/>
          <a:ext cx="2038350" cy="733425"/>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Major Sports</a:t>
          </a:r>
        </a:p>
      </xdr:txBody>
    </xdr:sp>
    <xdr:clientData/>
  </xdr:twoCellAnchor>
  <xdr:twoCellAnchor>
    <xdr:from>
      <xdr:col>3</xdr:col>
      <xdr:colOff>485774</xdr:colOff>
      <xdr:row>5</xdr:row>
      <xdr:rowOff>95249</xdr:rowOff>
    </xdr:from>
    <xdr:to>
      <xdr:col>13</xdr:col>
      <xdr:colOff>485775</xdr:colOff>
      <xdr:row>21</xdr:row>
      <xdr:rowOff>9525</xdr:rowOff>
    </xdr:to>
    <xdr:graphicFrame macro="">
      <xdr:nvGraphicFramePr>
        <xdr:cNvPr id="12" name="Chart 1">
          <a:extLst>
            <a:ext uri="{FF2B5EF4-FFF2-40B4-BE49-F238E27FC236}">
              <a16:creationId xmlns:a16="http://schemas.microsoft.com/office/drawing/2014/main" id="{9D7DB5D1-F408-49D2-91BB-31F6599D0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333374</xdr:colOff>
      <xdr:row>0</xdr:row>
      <xdr:rowOff>85725</xdr:rowOff>
    </xdr:from>
    <xdr:to>
      <xdr:col>14</xdr:col>
      <xdr:colOff>457199</xdr:colOff>
      <xdr:row>5</xdr:row>
      <xdr:rowOff>9525</xdr:rowOff>
    </xdr:to>
    <xdr:sp macro="" textlink="KPI!A4">
      <xdr:nvSpPr>
        <xdr:cNvPr id="16" name="Rectangle: Rounded Corners 15">
          <a:hlinkClick xmlns:r="http://schemas.openxmlformats.org/officeDocument/2006/relationships" r:id="rId7"/>
          <a:extLst>
            <a:ext uri="{FF2B5EF4-FFF2-40B4-BE49-F238E27FC236}">
              <a16:creationId xmlns:a16="http://schemas.microsoft.com/office/drawing/2014/main" id="{8D7AF482-F496-4F90-960F-591200E63938}"/>
            </a:ext>
          </a:extLst>
        </xdr:cNvPr>
        <xdr:cNvSpPr/>
      </xdr:nvSpPr>
      <xdr:spPr>
        <a:xfrm>
          <a:off x="7038974" y="85725"/>
          <a:ext cx="1952625" cy="876300"/>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618B699-43F4-40D0-9195-11EAC7153D3C}" type="TxLink">
            <a:rPr lang="en-US" sz="1100" b="0" i="0" u="none" strike="noStrike">
              <a:solidFill>
                <a:srgbClr val="000000"/>
              </a:solidFill>
              <a:latin typeface="Calibri"/>
              <a:ea typeface="Calibri"/>
              <a:cs typeface="Calibri"/>
            </a:rPr>
            <a:pPr algn="ctr"/>
            <a:t>2103</a:t>
          </a:fld>
          <a:endParaRPr lang="en-US" sz="1400" b="1">
            <a:solidFill>
              <a:schemeClr val="bg1"/>
            </a:solidFill>
          </a:endParaRPr>
        </a:p>
      </xdr:txBody>
    </xdr:sp>
    <xdr:clientData/>
  </xdr:twoCellAnchor>
  <xdr:twoCellAnchor>
    <xdr:from>
      <xdr:col>15</xdr:col>
      <xdr:colOff>104776</xdr:colOff>
      <xdr:row>0</xdr:row>
      <xdr:rowOff>66675</xdr:rowOff>
    </xdr:from>
    <xdr:to>
      <xdr:col>18</xdr:col>
      <xdr:colOff>409576</xdr:colOff>
      <xdr:row>5</xdr:row>
      <xdr:rowOff>19050</xdr:rowOff>
    </xdr:to>
    <xdr:sp macro="" textlink="KPI!B4">
      <xdr:nvSpPr>
        <xdr:cNvPr id="17" name="Rectangle: Rounded Corners 16">
          <a:hlinkClick xmlns:r="http://schemas.openxmlformats.org/officeDocument/2006/relationships" r:id="rId8"/>
          <a:extLst>
            <a:ext uri="{FF2B5EF4-FFF2-40B4-BE49-F238E27FC236}">
              <a16:creationId xmlns:a16="http://schemas.microsoft.com/office/drawing/2014/main" id="{C4274149-7A54-4DC3-848C-84013CC7D12C}"/>
            </a:ext>
          </a:extLst>
        </xdr:cNvPr>
        <xdr:cNvSpPr/>
      </xdr:nvSpPr>
      <xdr:spPr>
        <a:xfrm>
          <a:off x="9248776" y="66675"/>
          <a:ext cx="2133600" cy="904875"/>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AE5EC97-D13D-4132-8A88-42EF5A1D5E6A}" type="TxLink">
            <a:rPr lang="en-US" sz="1100" b="0" i="0" u="none" strike="noStrike">
              <a:solidFill>
                <a:srgbClr val="000000"/>
              </a:solidFill>
              <a:latin typeface="Calibri"/>
              <a:ea typeface="Calibri"/>
              <a:cs typeface="Calibri"/>
            </a:rPr>
            <a:pPr algn="ctr"/>
            <a:t>20</a:t>
          </a:fld>
          <a:endParaRPr lang="en-US" sz="1400">
            <a:solidFill>
              <a:schemeClr val="bg1"/>
            </a:solidFill>
          </a:endParaRPr>
        </a:p>
      </xdr:txBody>
    </xdr:sp>
    <xdr:clientData/>
  </xdr:twoCellAnchor>
  <xdr:twoCellAnchor>
    <xdr:from>
      <xdr:col>3</xdr:col>
      <xdr:colOff>514350</xdr:colOff>
      <xdr:row>0</xdr:row>
      <xdr:rowOff>57150</xdr:rowOff>
    </xdr:from>
    <xdr:to>
      <xdr:col>11</xdr:col>
      <xdr:colOff>200026</xdr:colOff>
      <xdr:row>4</xdr:row>
      <xdr:rowOff>171450</xdr:rowOff>
    </xdr:to>
    <xdr:sp macro="" textlink="">
      <xdr:nvSpPr>
        <xdr:cNvPr id="23" name="Rectangle: Rounded Corners 22">
          <a:extLst>
            <a:ext uri="{FF2B5EF4-FFF2-40B4-BE49-F238E27FC236}">
              <a16:creationId xmlns:a16="http://schemas.microsoft.com/office/drawing/2014/main" id="{EDAD9414-7C41-4C1F-9F3D-09FE91398504}"/>
            </a:ext>
          </a:extLst>
        </xdr:cNvPr>
        <xdr:cNvSpPr/>
      </xdr:nvSpPr>
      <xdr:spPr>
        <a:xfrm>
          <a:off x="2343150" y="57150"/>
          <a:ext cx="4562476" cy="876300"/>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Global</a:t>
          </a:r>
          <a:r>
            <a:rPr lang="en-US" sz="3600" baseline="0"/>
            <a:t> Sports Analysis</a:t>
          </a:r>
          <a:endParaRPr lang="en-US" sz="3600"/>
        </a:p>
      </xdr:txBody>
    </xdr:sp>
    <xdr:clientData/>
  </xdr:twoCellAnchor>
  <xdr:twoCellAnchor>
    <xdr:from>
      <xdr:col>0</xdr:col>
      <xdr:colOff>57151</xdr:colOff>
      <xdr:row>0</xdr:row>
      <xdr:rowOff>104775</xdr:rowOff>
    </xdr:from>
    <xdr:to>
      <xdr:col>3</xdr:col>
      <xdr:colOff>428625</xdr:colOff>
      <xdr:row>35</xdr:row>
      <xdr:rowOff>95250</xdr:rowOff>
    </xdr:to>
    <xdr:sp macro="" textlink="">
      <xdr:nvSpPr>
        <xdr:cNvPr id="8" name="Rectangle: Rounded Corners 7">
          <a:extLst>
            <a:ext uri="{FF2B5EF4-FFF2-40B4-BE49-F238E27FC236}">
              <a16:creationId xmlns:a16="http://schemas.microsoft.com/office/drawing/2014/main" id="{E6380994-9746-413E-A98D-4602A11A6E3B}"/>
            </a:ext>
          </a:extLst>
        </xdr:cNvPr>
        <xdr:cNvSpPr/>
      </xdr:nvSpPr>
      <xdr:spPr>
        <a:xfrm>
          <a:off x="57151" y="104775"/>
          <a:ext cx="2200274" cy="66579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13</xdr:row>
      <xdr:rowOff>0</xdr:rowOff>
    </xdr:from>
    <xdr:to>
      <xdr:col>3</xdr:col>
      <xdr:colOff>352424</xdr:colOff>
      <xdr:row>16</xdr:row>
      <xdr:rowOff>161925</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486EA92B-F112-404F-90EA-E56476E6A646}"/>
            </a:ext>
          </a:extLst>
        </xdr:cNvPr>
        <xdr:cNvSpPr/>
      </xdr:nvSpPr>
      <xdr:spPr>
        <a:xfrm>
          <a:off x="123825" y="2476500"/>
          <a:ext cx="2057399" cy="733425"/>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MINOR Sports</a:t>
          </a:r>
        </a:p>
      </xdr:txBody>
    </xdr:sp>
    <xdr:clientData/>
  </xdr:twoCellAnchor>
  <xdr:twoCellAnchor>
    <xdr:from>
      <xdr:col>0</xdr:col>
      <xdr:colOff>114300</xdr:colOff>
      <xdr:row>17</xdr:row>
      <xdr:rowOff>152400</xdr:rowOff>
    </xdr:from>
    <xdr:to>
      <xdr:col>3</xdr:col>
      <xdr:colOff>361949</xdr:colOff>
      <xdr:row>21</xdr:row>
      <xdr:rowOff>123825</xdr:rowOff>
    </xdr:to>
    <xdr:sp macro="" textlink="">
      <xdr:nvSpPr>
        <xdr:cNvPr id="31" name="Rectangle: Rounded Corners 30">
          <a:hlinkClick xmlns:r="http://schemas.openxmlformats.org/officeDocument/2006/relationships" r:id="rId10"/>
          <a:extLst>
            <a:ext uri="{FF2B5EF4-FFF2-40B4-BE49-F238E27FC236}">
              <a16:creationId xmlns:a16="http://schemas.microsoft.com/office/drawing/2014/main" id="{A4E60FF0-D6AC-4735-A639-0691DCDED7A7}"/>
            </a:ext>
          </a:extLst>
        </xdr:cNvPr>
        <xdr:cNvSpPr/>
      </xdr:nvSpPr>
      <xdr:spPr>
        <a:xfrm>
          <a:off x="114300" y="3390900"/>
          <a:ext cx="2076449" cy="733425"/>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PLAYERS</a:t>
          </a:r>
          <a:r>
            <a:rPr lang="en-US" sz="2000" baseline="0"/>
            <a:t> REGION</a:t>
          </a:r>
          <a:endParaRPr lang="en-US" sz="2000"/>
        </a:p>
      </xdr:txBody>
    </xdr:sp>
    <xdr:clientData/>
  </xdr:twoCellAnchor>
  <xdr:twoCellAnchor>
    <xdr:from>
      <xdr:col>0</xdr:col>
      <xdr:colOff>104775</xdr:colOff>
      <xdr:row>22</xdr:row>
      <xdr:rowOff>66675</xdr:rowOff>
    </xdr:from>
    <xdr:to>
      <xdr:col>3</xdr:col>
      <xdr:colOff>352424</xdr:colOff>
      <xdr:row>26</xdr:row>
      <xdr:rowOff>38100</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559F887F-146F-4608-B987-F0A6D1D285C0}"/>
            </a:ext>
          </a:extLst>
        </xdr:cNvPr>
        <xdr:cNvSpPr/>
      </xdr:nvSpPr>
      <xdr:spPr>
        <a:xfrm>
          <a:off x="104775" y="4257675"/>
          <a:ext cx="2076449" cy="733425"/>
        </a:xfrm>
        <a:prstGeom prst="roundRect">
          <a:avLst/>
        </a:prstGeom>
        <a:solidFill>
          <a:srgbClr val="1932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POPULARITY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6.641007060185" createdVersion="7" refreshedVersion="7" minRefreshableVersion="3" recordCount="80" xr:uid="{FC60A949-46E1-4F76-92A6-113E43453AEC}">
  <cacheSource type="worksheet">
    <worksheetSource name="Table1"/>
  </cacheSource>
  <cacheFields count="12">
    <cacheField name="Record_id" numFmtId="0">
      <sharedItems containsSemiMixedTypes="0" containsString="0" containsNumber="1" containsInteger="1" minValue="1" maxValue="80"/>
    </cacheField>
    <cacheField name="Major Sports" numFmtId="0">
      <sharedItems count="10">
        <s v="Football (Soccer)"/>
        <s v="Cricket"/>
        <s v="Basketball"/>
        <s v="Tennis"/>
        <s v="Baseball"/>
        <s v="American Football"/>
        <s v="Ice Hockey"/>
        <s v="Rugby"/>
        <s v="Golf"/>
        <s v="Formula 1"/>
      </sharedItems>
    </cacheField>
    <cacheField name="Minor Sports" numFmtId="0">
      <sharedItems count="10">
        <s v="Kabaddi"/>
        <s v="Kho-Kho"/>
        <s v="Sepak Takraw"/>
        <s v="Futsal"/>
        <s v="Handball"/>
        <s v="Netball"/>
        <s v="Lacrosse"/>
        <s v="Squash"/>
        <s v="Table Tennis"/>
        <s v="Badminton"/>
      </sharedItems>
    </cacheField>
    <cacheField name="Registered_Players" numFmtId="0">
      <sharedItems containsSemiMixedTypes="0" containsString="0" containsNumber="1" containsInteger="1" minValue="151" maxValue="9875"/>
    </cacheField>
    <cacheField name="Primary_Score" numFmtId="0">
      <sharedItems containsSemiMixedTypes="0" containsString="0" containsNumber="1" containsInteger="1" minValue="2" maxValue="100"/>
    </cacheField>
    <cacheField name="Secondary_Score" numFmtId="0">
      <sharedItems containsSemiMixedTypes="0" containsString="0" containsNumber="1" containsInteger="1" minValue="3" maxValue="98"/>
    </cacheField>
    <cacheField name="Event_Date" numFmtId="0">
      <sharedItems containsMixedTypes="1" containsNumber="1" containsInteger="1" minValue="45292" maxValue="45319"/>
    </cacheField>
    <cacheField name="Region" numFmtId="0">
      <sharedItems count="20">
        <s v="South Asia"/>
        <s v="Western Europe"/>
        <s v="North America"/>
        <s v="East Asia"/>
        <s v="Middle East"/>
        <s v="Southeast Asia"/>
        <s v="Eastern Europe"/>
        <s v="South America"/>
        <s v="Africa"/>
        <s v="Oceania"/>
        <s v="Central Asia"/>
        <s v="Northern Europe"/>
        <s v="Southern Europe"/>
        <s v="Caribbean"/>
        <s v="Central America"/>
        <s v="West Africa"/>
        <s v="East Africa"/>
        <s v="Southern Africa"/>
        <s v="North Africa"/>
        <s v="Pacific Islands"/>
      </sharedItems>
    </cacheField>
    <cacheField name="Country" numFmtId="0">
      <sharedItems count="40">
        <s v="India"/>
        <s v="United States"/>
        <s v="United Kingdom"/>
        <s v="China"/>
        <s v="Germany"/>
        <s v="Brazil"/>
        <s v="Australia"/>
        <s v="Canada"/>
        <s v="Japan"/>
        <s v="France"/>
        <s v="South Africa"/>
        <s v="Nigeria"/>
        <s v="Kenya"/>
        <s v="Egypt"/>
        <s v="Morocco"/>
        <s v="Mexico"/>
        <s v="Argentina"/>
        <s v="Chile"/>
        <s v="Peru"/>
        <s v="Colombia"/>
        <s v="Saudi Arabia"/>
        <s v="United Arab Emirates"/>
        <s v="Qatar"/>
        <s v="Iran"/>
        <s v="Turkey"/>
        <s v="Israel"/>
        <s v="Thailand"/>
        <s v="Indonesia"/>
        <s v="Vietnam"/>
        <s v="Malaysia"/>
        <s v="Russia"/>
        <s v="Ukraine"/>
        <s v="Poland"/>
        <s v="Romania"/>
        <s v="Czech Republic"/>
        <s v="Sweden"/>
        <s v="Norway"/>
        <s v="Finland"/>
        <s v="Denmark"/>
        <s v="Netherlands"/>
      </sharedItems>
    </cacheField>
    <cacheField name="Target_Value" numFmtId="0">
      <sharedItems containsSemiMixedTypes="0" containsString="0" containsNumber="1" containsInteger="1" minValue="529" maxValue="4904" count="80">
        <n v="3641"/>
        <n v="2797"/>
        <n v="2413"/>
        <n v="4344"/>
        <n v="594"/>
        <n v="3789"/>
        <n v="3759"/>
        <n v="3870"/>
        <n v="2916"/>
        <n v="3045"/>
        <n v="928"/>
        <n v="529"/>
        <n v="1683"/>
        <n v="1396"/>
        <n v="2815"/>
        <n v="1143"/>
        <n v="2394"/>
        <n v="2991"/>
        <n v="2996"/>
        <n v="1075"/>
        <n v="784"/>
        <n v="2904"/>
        <n v="1184"/>
        <n v="4150"/>
        <n v="1958"/>
        <n v="4897"/>
        <n v="827"/>
        <n v="2304"/>
        <n v="3204"/>
        <n v="4301"/>
        <n v="2888"/>
        <n v="4830"/>
        <n v="2521"/>
        <n v="1226"/>
        <n v="1907"/>
        <n v="4363"/>
        <n v="2208"/>
        <n v="1168"/>
        <n v="2202"/>
        <n v="3260"/>
        <n v="716"/>
        <n v="1182"/>
        <n v="3890"/>
        <n v="2335"/>
        <n v="2486"/>
        <n v="4783"/>
        <n v="917"/>
        <n v="4365"/>
        <n v="4120"/>
        <n v="4820"/>
        <n v="1310"/>
        <n v="1788"/>
        <n v="1767"/>
        <n v="2214"/>
        <n v="3654"/>
        <n v="4904"/>
        <n v="3201"/>
        <n v="1831"/>
        <n v="3411"/>
        <n v="1383"/>
        <n v="3548"/>
        <n v="2442"/>
        <n v="3266"/>
        <n v="2079"/>
        <n v="2549"/>
        <n v="2647"/>
        <n v="2978"/>
        <n v="1838"/>
        <n v="4092"/>
        <n v="2237"/>
        <n v="2931"/>
        <n v="1474"/>
        <n v="3103"/>
        <n v="801"/>
        <n v="4879"/>
        <n v="3526"/>
        <n v="4104"/>
        <n v="1106"/>
        <n v="2689"/>
        <n v="4500"/>
      </sharedItems>
    </cacheField>
    <cacheField name="Popularity_Level" numFmtId="0">
      <sharedItems count="3">
        <s v="International"/>
        <s v="Both"/>
        <s v="National"/>
      </sharedItems>
    </cacheField>
    <cacheField name="Total_Score" numFmtId="0">
      <sharedItems containsSemiMixedTypes="0" containsString="0" containsNumber="1" containsInteger="1" minValue="24" maxValue="184"/>
    </cacheField>
  </cacheFields>
  <extLst>
    <ext xmlns:x14="http://schemas.microsoft.com/office/spreadsheetml/2009/9/main" uri="{725AE2AE-9491-48be-B2B4-4EB974FC3084}">
      <x14:pivotCacheDefinition pivotCacheId="300937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x v="0"/>
    <x v="0"/>
    <n v="1399"/>
    <n v="92"/>
    <n v="28"/>
    <s v="2025-01-07"/>
    <x v="0"/>
    <x v="0"/>
    <x v="0"/>
    <x v="0"/>
    <n v="120"/>
  </r>
  <r>
    <n v="2"/>
    <x v="1"/>
    <x v="1"/>
    <n v="916"/>
    <n v="78"/>
    <n v="50"/>
    <s v="2025-01-19"/>
    <x v="1"/>
    <x v="1"/>
    <x v="1"/>
    <x v="1"/>
    <n v="128"/>
  </r>
  <r>
    <n v="3"/>
    <x v="2"/>
    <x v="2"/>
    <n v="1045"/>
    <n v="11"/>
    <n v="76"/>
    <s v="2025-01-26"/>
    <x v="2"/>
    <x v="2"/>
    <x v="2"/>
    <x v="2"/>
    <n v="87"/>
  </r>
  <r>
    <n v="4"/>
    <x v="3"/>
    <x v="3"/>
    <n v="4517"/>
    <n v="85"/>
    <n v="5"/>
    <s v="2025-01-12"/>
    <x v="3"/>
    <x v="3"/>
    <x v="3"/>
    <x v="0"/>
    <n v="90"/>
  </r>
  <r>
    <n v="5"/>
    <x v="4"/>
    <x v="4"/>
    <n v="259"/>
    <n v="92"/>
    <n v="54"/>
    <s v="2025-01-02"/>
    <x v="4"/>
    <x v="4"/>
    <x v="4"/>
    <x v="0"/>
    <n v="146"/>
  </r>
  <r>
    <n v="6"/>
    <x v="5"/>
    <x v="5"/>
    <n v="9814"/>
    <n v="90"/>
    <n v="33"/>
    <s v="2025-01-16"/>
    <x v="5"/>
    <x v="5"/>
    <x v="5"/>
    <x v="1"/>
    <n v="123"/>
  </r>
  <r>
    <n v="7"/>
    <x v="6"/>
    <x v="6"/>
    <n v="9875"/>
    <n v="27"/>
    <n v="19"/>
    <s v="2025-01-18"/>
    <x v="6"/>
    <x v="6"/>
    <x v="6"/>
    <x v="2"/>
    <n v="46"/>
  </r>
  <r>
    <n v="8"/>
    <x v="7"/>
    <x v="7"/>
    <n v="8233"/>
    <n v="91"/>
    <n v="75"/>
    <s v="2025-01-01"/>
    <x v="7"/>
    <x v="7"/>
    <x v="7"/>
    <x v="1"/>
    <n v="166"/>
  </r>
  <r>
    <n v="9"/>
    <x v="8"/>
    <x v="8"/>
    <n v="2927"/>
    <n v="6"/>
    <n v="80"/>
    <s v="2025-01-27"/>
    <x v="8"/>
    <x v="8"/>
    <x v="8"/>
    <x v="0"/>
    <n v="86"/>
  </r>
  <r>
    <n v="10"/>
    <x v="9"/>
    <x v="9"/>
    <n v="192"/>
    <n v="19"/>
    <n v="38"/>
    <s v="2025-01-02"/>
    <x v="9"/>
    <x v="9"/>
    <x v="9"/>
    <x v="2"/>
    <n v="57"/>
  </r>
  <r>
    <n v="11"/>
    <x v="0"/>
    <x v="0"/>
    <n v="1934"/>
    <n v="26"/>
    <n v="59"/>
    <n v="45305"/>
    <x v="0"/>
    <x v="0"/>
    <x v="10"/>
    <x v="0"/>
    <n v="85"/>
  </r>
  <r>
    <n v="12"/>
    <x v="1"/>
    <x v="1"/>
    <n v="4918"/>
    <n v="66"/>
    <n v="66"/>
    <s v="2025-01-02"/>
    <x v="1"/>
    <x v="1"/>
    <x v="11"/>
    <x v="1"/>
    <n v="132"/>
  </r>
  <r>
    <n v="13"/>
    <x v="2"/>
    <x v="2"/>
    <n v="3517"/>
    <n v="26"/>
    <n v="49"/>
    <s v="2025-01-18"/>
    <x v="2"/>
    <x v="2"/>
    <x v="12"/>
    <x v="1"/>
    <n v="75"/>
  </r>
  <r>
    <n v="14"/>
    <x v="3"/>
    <x v="3"/>
    <n v="6976"/>
    <n v="95"/>
    <n v="19"/>
    <s v="2025-01-14"/>
    <x v="3"/>
    <x v="3"/>
    <x v="13"/>
    <x v="2"/>
    <n v="114"/>
  </r>
  <r>
    <n v="15"/>
    <x v="4"/>
    <x v="4"/>
    <n v="9190"/>
    <n v="58"/>
    <n v="60"/>
    <s v="2025-01-19"/>
    <x v="4"/>
    <x v="4"/>
    <x v="14"/>
    <x v="0"/>
    <n v="118"/>
  </r>
  <r>
    <n v="16"/>
    <x v="5"/>
    <x v="5"/>
    <n v="7277"/>
    <n v="44"/>
    <n v="64"/>
    <s v="2025-01-06"/>
    <x v="5"/>
    <x v="5"/>
    <x v="15"/>
    <x v="0"/>
    <n v="108"/>
  </r>
  <r>
    <n v="17"/>
    <x v="6"/>
    <x v="6"/>
    <n v="3146"/>
    <n v="69"/>
    <n v="18"/>
    <s v="2025-01-20"/>
    <x v="6"/>
    <x v="6"/>
    <x v="16"/>
    <x v="1"/>
    <n v="87"/>
  </r>
  <r>
    <n v="18"/>
    <x v="7"/>
    <x v="7"/>
    <n v="477"/>
    <n v="100"/>
    <n v="54"/>
    <s v="2025-01-09"/>
    <x v="7"/>
    <x v="7"/>
    <x v="17"/>
    <x v="2"/>
    <n v="154"/>
  </r>
  <r>
    <n v="19"/>
    <x v="8"/>
    <x v="8"/>
    <n v="1672"/>
    <n v="6"/>
    <n v="68"/>
    <n v="45300"/>
    <x v="8"/>
    <x v="8"/>
    <x v="18"/>
    <x v="0"/>
    <n v="74"/>
  </r>
  <r>
    <n v="20"/>
    <x v="9"/>
    <x v="9"/>
    <n v="1206"/>
    <n v="70"/>
    <n v="23"/>
    <s v="2025-01-06"/>
    <x v="9"/>
    <x v="9"/>
    <x v="19"/>
    <x v="1"/>
    <n v="93"/>
  </r>
  <r>
    <n v="21"/>
    <x v="0"/>
    <x v="0"/>
    <n v="4854"/>
    <n v="2"/>
    <n v="80"/>
    <s v="2025-01-21"/>
    <x v="10"/>
    <x v="10"/>
    <x v="20"/>
    <x v="2"/>
    <n v="82"/>
  </r>
  <r>
    <n v="22"/>
    <x v="1"/>
    <x v="1"/>
    <n v="5537"/>
    <n v="31"/>
    <n v="91"/>
    <s v="2025-01-28"/>
    <x v="11"/>
    <x v="11"/>
    <x v="21"/>
    <x v="1"/>
    <n v="122"/>
  </r>
  <r>
    <n v="23"/>
    <x v="2"/>
    <x v="2"/>
    <n v="4134"/>
    <n v="89"/>
    <n v="26"/>
    <s v="2025-01-11"/>
    <x v="12"/>
    <x v="12"/>
    <x v="22"/>
    <x v="1"/>
    <n v="115"/>
  </r>
  <r>
    <n v="24"/>
    <x v="3"/>
    <x v="3"/>
    <n v="2095"/>
    <n v="30"/>
    <n v="51"/>
    <s v="2025-01-08"/>
    <x v="13"/>
    <x v="13"/>
    <x v="23"/>
    <x v="0"/>
    <n v="81"/>
  </r>
  <r>
    <n v="25"/>
    <x v="4"/>
    <x v="4"/>
    <n v="9001"/>
    <n v="37"/>
    <n v="41"/>
    <s v="2025-01-17"/>
    <x v="14"/>
    <x v="14"/>
    <x v="24"/>
    <x v="2"/>
    <n v="78"/>
  </r>
  <r>
    <n v="26"/>
    <x v="5"/>
    <x v="5"/>
    <n v="9116"/>
    <n v="67"/>
    <n v="53"/>
    <s v="2025-01-11"/>
    <x v="15"/>
    <x v="15"/>
    <x v="25"/>
    <x v="0"/>
    <n v="120"/>
  </r>
  <r>
    <n v="27"/>
    <x v="6"/>
    <x v="6"/>
    <n v="4033"/>
    <n v="12"/>
    <n v="40"/>
    <s v="2025-01-09"/>
    <x v="16"/>
    <x v="16"/>
    <x v="26"/>
    <x v="1"/>
    <n v="52"/>
  </r>
  <r>
    <n v="28"/>
    <x v="7"/>
    <x v="7"/>
    <n v="591"/>
    <n v="49"/>
    <n v="92"/>
    <s v="2025-01-11"/>
    <x v="17"/>
    <x v="17"/>
    <x v="27"/>
    <x v="0"/>
    <n v="141"/>
  </r>
  <r>
    <n v="29"/>
    <x v="8"/>
    <x v="8"/>
    <n v="4585"/>
    <n v="81"/>
    <n v="45"/>
    <s v="2025-01-14"/>
    <x v="18"/>
    <x v="18"/>
    <x v="28"/>
    <x v="0"/>
    <n v="126"/>
  </r>
  <r>
    <n v="30"/>
    <x v="9"/>
    <x v="9"/>
    <n v="2725"/>
    <n v="79"/>
    <n v="57"/>
    <n v="45296"/>
    <x v="19"/>
    <x v="19"/>
    <x v="29"/>
    <x v="2"/>
    <n v="136"/>
  </r>
  <r>
    <n v="31"/>
    <x v="0"/>
    <x v="0"/>
    <n v="9481"/>
    <n v="49"/>
    <n v="22"/>
    <n v="45309"/>
    <x v="10"/>
    <x v="10"/>
    <x v="30"/>
    <x v="1"/>
    <n v="71"/>
  </r>
  <r>
    <n v="32"/>
    <x v="1"/>
    <x v="1"/>
    <n v="5415"/>
    <n v="91"/>
    <n v="87"/>
    <n v="45310"/>
    <x v="11"/>
    <x v="11"/>
    <x v="31"/>
    <x v="1"/>
    <n v="178"/>
  </r>
  <r>
    <n v="33"/>
    <x v="2"/>
    <x v="2"/>
    <n v="4198"/>
    <n v="52"/>
    <n v="57"/>
    <n v="45292"/>
    <x v="12"/>
    <x v="12"/>
    <x v="32"/>
    <x v="0"/>
    <n v="109"/>
  </r>
  <r>
    <n v="34"/>
    <x v="3"/>
    <x v="3"/>
    <n v="8586"/>
    <n v="50"/>
    <n v="86"/>
    <s v="2025-01-15"/>
    <x v="13"/>
    <x v="13"/>
    <x v="33"/>
    <x v="2"/>
    <n v="136"/>
  </r>
  <r>
    <n v="35"/>
    <x v="4"/>
    <x v="4"/>
    <n v="3140"/>
    <n v="46"/>
    <n v="25"/>
    <s v="2025-01-15"/>
    <x v="14"/>
    <x v="14"/>
    <x v="34"/>
    <x v="0"/>
    <n v="71"/>
  </r>
  <r>
    <n v="36"/>
    <x v="5"/>
    <x v="5"/>
    <n v="2728"/>
    <n v="88"/>
    <n v="87"/>
    <s v="2025-01-27"/>
    <x v="15"/>
    <x v="15"/>
    <x v="35"/>
    <x v="1"/>
    <n v="175"/>
  </r>
  <r>
    <n v="37"/>
    <x v="6"/>
    <x v="6"/>
    <n v="4792"/>
    <n v="72"/>
    <n v="72"/>
    <n v="45318"/>
    <x v="16"/>
    <x v="16"/>
    <x v="36"/>
    <x v="2"/>
    <n v="144"/>
  </r>
  <r>
    <n v="38"/>
    <x v="7"/>
    <x v="7"/>
    <n v="9396"/>
    <n v="79"/>
    <n v="81"/>
    <s v="2025-01-19"/>
    <x v="17"/>
    <x v="17"/>
    <x v="37"/>
    <x v="0"/>
    <n v="160"/>
  </r>
  <r>
    <n v="39"/>
    <x v="8"/>
    <x v="8"/>
    <n v="1990"/>
    <n v="33"/>
    <n v="3"/>
    <s v="2025-01-01"/>
    <x v="18"/>
    <x v="18"/>
    <x v="38"/>
    <x v="0"/>
    <n v="36"/>
  </r>
  <r>
    <n v="40"/>
    <x v="9"/>
    <x v="9"/>
    <n v="5794"/>
    <n v="52"/>
    <n v="74"/>
    <n v="45294"/>
    <x v="19"/>
    <x v="19"/>
    <x v="39"/>
    <x v="1"/>
    <n v="126"/>
  </r>
  <r>
    <n v="41"/>
    <x v="0"/>
    <x v="0"/>
    <n v="3472"/>
    <n v="80"/>
    <n v="58"/>
    <s v="2025-01-07"/>
    <x v="0"/>
    <x v="20"/>
    <x v="40"/>
    <x v="1"/>
    <n v="138"/>
  </r>
  <r>
    <n v="42"/>
    <x v="1"/>
    <x v="1"/>
    <n v="7040"/>
    <n v="57"/>
    <n v="74"/>
    <n v="45297"/>
    <x v="1"/>
    <x v="21"/>
    <x v="41"/>
    <x v="2"/>
    <n v="131"/>
  </r>
  <r>
    <n v="43"/>
    <x v="2"/>
    <x v="2"/>
    <n v="7334"/>
    <n v="79"/>
    <n v="77"/>
    <n v="45292"/>
    <x v="2"/>
    <x v="22"/>
    <x v="42"/>
    <x v="0"/>
    <n v="156"/>
  </r>
  <r>
    <n v="44"/>
    <x v="3"/>
    <x v="3"/>
    <n v="8875"/>
    <n v="44"/>
    <n v="69"/>
    <n v="45319"/>
    <x v="3"/>
    <x v="23"/>
    <x v="43"/>
    <x v="2"/>
    <n v="113"/>
  </r>
  <r>
    <n v="45"/>
    <x v="4"/>
    <x v="4"/>
    <n v="9563"/>
    <n v="90"/>
    <n v="59"/>
    <s v="2025-01-08"/>
    <x v="4"/>
    <x v="24"/>
    <x v="44"/>
    <x v="1"/>
    <n v="149"/>
  </r>
  <r>
    <n v="46"/>
    <x v="5"/>
    <x v="5"/>
    <n v="8444"/>
    <n v="9"/>
    <n v="31"/>
    <s v="2025-01-04"/>
    <x v="5"/>
    <x v="25"/>
    <x v="45"/>
    <x v="0"/>
    <n v="40"/>
  </r>
  <r>
    <n v="47"/>
    <x v="6"/>
    <x v="6"/>
    <n v="3789"/>
    <n v="72"/>
    <n v="45"/>
    <s v="2025-01-01"/>
    <x v="6"/>
    <x v="26"/>
    <x v="46"/>
    <x v="0"/>
    <n v="117"/>
  </r>
  <r>
    <n v="48"/>
    <x v="7"/>
    <x v="7"/>
    <n v="8281"/>
    <n v="44"/>
    <n v="37"/>
    <s v="2025-01-26"/>
    <x v="7"/>
    <x v="27"/>
    <x v="47"/>
    <x v="1"/>
    <n v="81"/>
  </r>
  <r>
    <n v="49"/>
    <x v="8"/>
    <x v="8"/>
    <n v="6552"/>
    <n v="42"/>
    <n v="98"/>
    <s v="2025-01-19"/>
    <x v="8"/>
    <x v="28"/>
    <x v="48"/>
    <x v="2"/>
    <n v="140"/>
  </r>
  <r>
    <n v="50"/>
    <x v="9"/>
    <x v="9"/>
    <n v="5428"/>
    <n v="84"/>
    <n v="15"/>
    <s v="2025-01-15"/>
    <x v="9"/>
    <x v="29"/>
    <x v="49"/>
    <x v="1"/>
    <n v="99"/>
  </r>
  <r>
    <n v="51"/>
    <x v="0"/>
    <x v="0"/>
    <n v="9667"/>
    <n v="91"/>
    <n v="20"/>
    <s v="2025-01-25"/>
    <x v="10"/>
    <x v="20"/>
    <x v="50"/>
    <x v="0"/>
    <n v="111"/>
  </r>
  <r>
    <n v="52"/>
    <x v="1"/>
    <x v="1"/>
    <n v="3551"/>
    <n v="10"/>
    <n v="95"/>
    <s v="2025-01-28"/>
    <x v="11"/>
    <x v="21"/>
    <x v="51"/>
    <x v="2"/>
    <n v="105"/>
  </r>
  <r>
    <n v="53"/>
    <x v="2"/>
    <x v="2"/>
    <n v="5558"/>
    <n v="98"/>
    <n v="15"/>
    <n v="45305"/>
    <x v="12"/>
    <x v="22"/>
    <x v="52"/>
    <x v="0"/>
    <n v="113"/>
  </r>
  <r>
    <n v="54"/>
    <x v="3"/>
    <x v="3"/>
    <n v="8200"/>
    <n v="2"/>
    <n v="44"/>
    <n v="45307"/>
    <x v="13"/>
    <x v="23"/>
    <x v="53"/>
    <x v="1"/>
    <n v="46"/>
  </r>
  <r>
    <n v="55"/>
    <x v="4"/>
    <x v="4"/>
    <n v="9084"/>
    <n v="96"/>
    <n v="20"/>
    <n v="45292"/>
    <x v="14"/>
    <x v="24"/>
    <x v="54"/>
    <x v="1"/>
    <n v="116"/>
  </r>
  <r>
    <n v="56"/>
    <x v="5"/>
    <x v="5"/>
    <n v="5700"/>
    <n v="57"/>
    <n v="52"/>
    <n v="45301"/>
    <x v="15"/>
    <x v="25"/>
    <x v="55"/>
    <x v="0"/>
    <n v="109"/>
  </r>
  <r>
    <n v="57"/>
    <x v="6"/>
    <x v="6"/>
    <n v="151"/>
    <n v="42"/>
    <n v="49"/>
    <n v="45314"/>
    <x v="16"/>
    <x v="26"/>
    <x v="56"/>
    <x v="2"/>
    <n v="91"/>
  </r>
  <r>
    <n v="58"/>
    <x v="7"/>
    <x v="7"/>
    <n v="8455"/>
    <n v="74"/>
    <n v="14"/>
    <s v="2025-01-15"/>
    <x v="17"/>
    <x v="27"/>
    <x v="57"/>
    <x v="0"/>
    <n v="88"/>
  </r>
  <r>
    <n v="59"/>
    <x v="8"/>
    <x v="8"/>
    <n v="1048"/>
    <n v="92"/>
    <n v="92"/>
    <s v="2025-01-18"/>
    <x v="18"/>
    <x v="28"/>
    <x v="58"/>
    <x v="0"/>
    <n v="184"/>
  </r>
  <r>
    <n v="60"/>
    <x v="9"/>
    <x v="9"/>
    <n v="1378"/>
    <n v="88"/>
    <n v="4"/>
    <s v="2025-01-18"/>
    <x v="19"/>
    <x v="29"/>
    <x v="59"/>
    <x v="1"/>
    <n v="92"/>
  </r>
  <r>
    <n v="61"/>
    <x v="0"/>
    <x v="0"/>
    <n v="1791"/>
    <n v="78"/>
    <n v="16"/>
    <s v="2025-01-04"/>
    <x v="0"/>
    <x v="30"/>
    <x v="60"/>
    <x v="2"/>
    <n v="94"/>
  </r>
  <r>
    <n v="62"/>
    <x v="1"/>
    <x v="1"/>
    <n v="886"/>
    <n v="60"/>
    <n v="65"/>
    <s v="2025-01-03"/>
    <x v="1"/>
    <x v="31"/>
    <x v="61"/>
    <x v="1"/>
    <n v="125"/>
  </r>
  <r>
    <n v="63"/>
    <x v="2"/>
    <x v="2"/>
    <n v="4937"/>
    <n v="33"/>
    <n v="86"/>
    <n v="45297"/>
    <x v="2"/>
    <x v="32"/>
    <x v="62"/>
    <x v="0"/>
    <n v="119"/>
  </r>
  <r>
    <n v="64"/>
    <x v="3"/>
    <x v="3"/>
    <n v="2439"/>
    <n v="7"/>
    <n v="17"/>
    <n v="45295"/>
    <x v="3"/>
    <x v="33"/>
    <x v="63"/>
    <x v="0"/>
    <n v="24"/>
  </r>
  <r>
    <n v="65"/>
    <x v="4"/>
    <x v="4"/>
    <n v="5756"/>
    <n v="39"/>
    <n v="67"/>
    <n v="45314"/>
    <x v="4"/>
    <x v="34"/>
    <x v="64"/>
    <x v="2"/>
    <n v="106"/>
  </r>
  <r>
    <n v="66"/>
    <x v="5"/>
    <x v="5"/>
    <n v="8764"/>
    <n v="16"/>
    <n v="30"/>
    <n v="45317"/>
    <x v="5"/>
    <x v="35"/>
    <x v="65"/>
    <x v="1"/>
    <n v="46"/>
  </r>
  <r>
    <n v="67"/>
    <x v="6"/>
    <x v="6"/>
    <n v="4185"/>
    <n v="28"/>
    <n v="89"/>
    <n v="45307"/>
    <x v="6"/>
    <x v="36"/>
    <x v="66"/>
    <x v="1"/>
    <n v="117"/>
  </r>
  <r>
    <n v="68"/>
    <x v="7"/>
    <x v="7"/>
    <n v="4490"/>
    <n v="41"/>
    <n v="72"/>
    <s v="2025-01-04"/>
    <x v="7"/>
    <x v="37"/>
    <x v="67"/>
    <x v="0"/>
    <n v="113"/>
  </r>
  <r>
    <n v="69"/>
    <x v="8"/>
    <x v="8"/>
    <n v="6711"/>
    <n v="14"/>
    <n v="13"/>
    <s v="2025-01-02"/>
    <x v="8"/>
    <x v="38"/>
    <x v="68"/>
    <x v="2"/>
    <n v="27"/>
  </r>
  <r>
    <n v="70"/>
    <x v="9"/>
    <x v="9"/>
    <n v="2468"/>
    <n v="88"/>
    <n v="35"/>
    <s v="2025-01-01"/>
    <x v="9"/>
    <x v="39"/>
    <x v="69"/>
    <x v="0"/>
    <n v="123"/>
  </r>
  <r>
    <n v="71"/>
    <x v="0"/>
    <x v="0"/>
    <n v="503"/>
    <n v="64"/>
    <n v="57"/>
    <s v="2025-01-20"/>
    <x v="10"/>
    <x v="30"/>
    <x v="70"/>
    <x v="1"/>
    <n v="121"/>
  </r>
  <r>
    <n v="72"/>
    <x v="1"/>
    <x v="1"/>
    <n v="8843"/>
    <n v="48"/>
    <n v="72"/>
    <s v="2025-01-13"/>
    <x v="11"/>
    <x v="31"/>
    <x v="71"/>
    <x v="0"/>
    <n v="120"/>
  </r>
  <r>
    <n v="73"/>
    <x v="2"/>
    <x v="2"/>
    <n v="6793"/>
    <n v="48"/>
    <n v="72"/>
    <s v="2025-01-02"/>
    <x v="12"/>
    <x v="32"/>
    <x v="72"/>
    <x v="2"/>
    <n v="120"/>
  </r>
  <r>
    <n v="74"/>
    <x v="3"/>
    <x v="3"/>
    <n v="6202"/>
    <n v="51"/>
    <n v="85"/>
    <s v="2025-01-26"/>
    <x v="13"/>
    <x v="33"/>
    <x v="73"/>
    <x v="1"/>
    <n v="136"/>
  </r>
  <r>
    <n v="75"/>
    <x v="4"/>
    <x v="4"/>
    <n v="4793"/>
    <n v="39"/>
    <n v="43"/>
    <n v="45312"/>
    <x v="14"/>
    <x v="34"/>
    <x v="74"/>
    <x v="0"/>
    <n v="82"/>
  </r>
  <r>
    <n v="76"/>
    <x v="5"/>
    <x v="5"/>
    <n v="1284"/>
    <n v="3"/>
    <n v="98"/>
    <n v="45302"/>
    <x v="15"/>
    <x v="35"/>
    <x v="75"/>
    <x v="0"/>
    <n v="101"/>
  </r>
  <r>
    <n v="77"/>
    <x v="6"/>
    <x v="6"/>
    <n v="9760"/>
    <n v="8"/>
    <n v="23"/>
    <n v="45310"/>
    <x v="16"/>
    <x v="36"/>
    <x v="76"/>
    <x v="1"/>
    <n v="31"/>
  </r>
  <r>
    <n v="78"/>
    <x v="7"/>
    <x v="7"/>
    <n v="8751"/>
    <n v="82"/>
    <n v="60"/>
    <n v="45312"/>
    <x v="17"/>
    <x v="37"/>
    <x v="77"/>
    <x v="2"/>
    <n v="142"/>
  </r>
  <r>
    <n v="79"/>
    <x v="8"/>
    <x v="8"/>
    <n v="6265"/>
    <n v="38"/>
    <n v="50"/>
    <s v="2025-01-08"/>
    <x v="18"/>
    <x v="38"/>
    <x v="78"/>
    <x v="0"/>
    <n v="88"/>
  </r>
  <r>
    <n v="80"/>
    <x v="9"/>
    <x v="9"/>
    <n v="3139"/>
    <n v="76"/>
    <n v="37"/>
    <s v="2025-01-01"/>
    <x v="19"/>
    <x v="39"/>
    <x v="79"/>
    <x v="1"/>
    <n v="1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0D927-FCD2-40AF-AD27-B044B652126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3" firstHeaderRow="1" firstDataRow="1" firstDataCol="1"/>
  <pivotFields count="12">
    <pivotField showAll="0"/>
    <pivotField axis="axisRow" showAll="0" sortType="ascending">
      <items count="11">
        <item x="5"/>
        <item x="4"/>
        <item x="2"/>
        <item x="1"/>
        <item x="0"/>
        <item x="9"/>
        <item x="8"/>
        <item x="6"/>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h="1" x="1"/>
        <item h="1" x="0"/>
        <item x="2"/>
        <item t="default"/>
      </items>
    </pivotField>
    <pivotField dataField="1" showAll="0"/>
  </pivotFields>
  <rowFields count="1">
    <field x="1"/>
  </rowFields>
  <rowItems count="10">
    <i>
      <x v="6"/>
    </i>
    <i>
      <x v="4"/>
    </i>
    <i>
      <x v="1"/>
    </i>
    <i>
      <x v="5"/>
    </i>
    <i>
      <x v="2"/>
    </i>
    <i>
      <x v="3"/>
    </i>
    <i>
      <x v="7"/>
    </i>
    <i>
      <x v="8"/>
    </i>
    <i>
      <x v="9"/>
    </i>
    <i t="grand">
      <x/>
    </i>
  </rowItems>
  <colItems count="1">
    <i/>
  </colItems>
  <dataFields count="1">
    <dataField name="Sum of Total_Score" fld="1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6EB9F9-D2DC-4FF9-9925-2C8F5911547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3" firstHeaderRow="1" firstDataRow="1" firstDataCol="1"/>
  <pivotFields count="12">
    <pivotField showAll="0"/>
    <pivotField showAll="0"/>
    <pivotField axis="axisRow" showAll="0" sortType="descending">
      <items count="11">
        <item x="9"/>
        <item x="3"/>
        <item x="4"/>
        <item x="0"/>
        <item x="1"/>
        <item x="6"/>
        <item x="5"/>
        <item x="2"/>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h="1" x="1"/>
        <item h="1" x="0"/>
        <item x="2"/>
        <item t="default"/>
      </items>
    </pivotField>
    <pivotField dataField="1" showAll="0"/>
  </pivotFields>
  <rowFields count="1">
    <field x="2"/>
  </rowFields>
  <rowItems count="10">
    <i>
      <x v="1"/>
    </i>
    <i>
      <x v="8"/>
    </i>
    <i>
      <x v="5"/>
    </i>
    <i>
      <x v="4"/>
    </i>
    <i>
      <x v="7"/>
    </i>
    <i>
      <x/>
    </i>
    <i>
      <x v="2"/>
    </i>
    <i>
      <x v="3"/>
    </i>
    <i>
      <x v="9"/>
    </i>
    <i t="grand">
      <x/>
    </i>
  </rowItems>
  <colItems count="1">
    <i/>
  </colItems>
  <dataFields count="1">
    <dataField name="Sum of Total_Score" fld="11"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1E5E71-BC2B-4190-8951-543FF5EEE41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2">
    <pivotField showAll="0"/>
    <pivotField showAll="0"/>
    <pivotField showAll="0"/>
    <pivotField showAll="0"/>
    <pivotField showAll="0"/>
    <pivotField showAll="0"/>
    <pivotField showAll="0"/>
    <pivotField showAll="0"/>
    <pivotField axis="axisRow" showAll="0">
      <items count="41">
        <item h="1" x="16"/>
        <item x="6"/>
        <item h="1" x="5"/>
        <item h="1" x="7"/>
        <item h="1" x="17"/>
        <item h="1" x="3"/>
        <item h="1" x="19"/>
        <item h="1" x="34"/>
        <item h="1" x="38"/>
        <item h="1" x="13"/>
        <item h="1" x="37"/>
        <item h="1" x="9"/>
        <item h="1" x="4"/>
        <item x="0"/>
        <item h="1" x="27"/>
        <item h="1" x="23"/>
        <item h="1" x="25"/>
        <item h="1" x="8"/>
        <item h="1" x="12"/>
        <item h="1" x="29"/>
        <item h="1" x="15"/>
        <item h="1" x="14"/>
        <item h="1" x="39"/>
        <item h="1" x="11"/>
        <item h="1" x="36"/>
        <item h="1" x="18"/>
        <item h="1" x="32"/>
        <item h="1" x="22"/>
        <item h="1" x="33"/>
        <item x="30"/>
        <item h="1" x="20"/>
        <item x="10"/>
        <item h="1" x="35"/>
        <item h="1" x="26"/>
        <item h="1" x="24"/>
        <item h="1" x="31"/>
        <item h="1" x="21"/>
        <item h="1" x="2"/>
        <item x="1"/>
        <item h="1" x="28"/>
        <item t="default"/>
      </items>
    </pivotField>
    <pivotField dataField="1" showAll="0"/>
    <pivotField showAll="0">
      <items count="4">
        <item h="1" x="1"/>
        <item h="1" x="0"/>
        <item x="2"/>
        <item t="default"/>
      </items>
    </pivotField>
    <pivotField showAll="0"/>
  </pivotFields>
  <rowFields count="1">
    <field x="8"/>
  </rowFields>
  <rowItems count="4">
    <i>
      <x v="1"/>
    </i>
    <i>
      <x v="29"/>
    </i>
    <i>
      <x v="31"/>
    </i>
    <i t="grand">
      <x/>
    </i>
  </rowItems>
  <colItems count="1">
    <i/>
  </colItems>
  <dataFields count="1">
    <dataField name="Sum of Target_Value" fld="9" baseField="0" baseItem="0"/>
  </dataFields>
  <chartFormats count="7">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31"/>
          </reference>
        </references>
      </pivotArea>
    </chartFormat>
    <chartFormat chart="2" format="6">
      <pivotArea type="data" outline="0" fieldPosition="0">
        <references count="2">
          <reference field="4294967294" count="1" selected="0">
            <x v="0"/>
          </reference>
          <reference field="8" count="1" selected="0">
            <x v="13"/>
          </reference>
        </references>
      </pivotArea>
    </chartFormat>
    <chartFormat chart="2" format="7">
      <pivotArea type="data" outline="0" fieldPosition="0">
        <references count="2">
          <reference field="4294967294" count="1" selected="0">
            <x v="0"/>
          </reference>
          <reference field="8" count="1" selected="0">
            <x v="3"/>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9"/>
          </reference>
        </references>
      </pivotArea>
    </chartFormat>
    <chartFormat chart="2" format="10">
      <pivotArea type="data" outline="0" fieldPosition="0">
        <references count="2">
          <reference field="4294967294" count="1" selected="0">
            <x v="0"/>
          </reference>
          <reference field="8"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6E805-8B6B-4201-A238-782C7FC76DA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 firstHeaderRow="1" firstDataRow="1" firstDataCol="1"/>
  <pivotFields count="12">
    <pivotField showAll="0"/>
    <pivotField showAll="0"/>
    <pivotField showAll="0"/>
    <pivotField dataField="1" showAll="0"/>
    <pivotField showAll="0"/>
    <pivotField showAll="0"/>
    <pivotField showAll="0"/>
    <pivotField axis="axisRow" showAll="0" sortType="ascending">
      <items count="21">
        <item x="8"/>
        <item h="1" x="13"/>
        <item h="1" x="14"/>
        <item x="10"/>
        <item x="16"/>
        <item h="1" x="3"/>
        <item h="1" x="6"/>
        <item h="1" x="4"/>
        <item x="18"/>
        <item h="1" x="2"/>
        <item h="1" x="11"/>
        <item h="1" x="9"/>
        <item h="1" x="19"/>
        <item x="7"/>
        <item h="1" x="0"/>
        <item h="1" x="5"/>
        <item h="1" x="17"/>
        <item h="1" x="12"/>
        <item x="15"/>
        <item h="1"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1"/>
        <item h="1" x="0"/>
        <item x="2"/>
        <item t="default"/>
      </items>
    </pivotField>
    <pivotField showAll="0"/>
  </pivotFields>
  <rowFields count="1">
    <field x="7"/>
  </rowFields>
  <rowItems count="5">
    <i>
      <x v="13"/>
    </i>
    <i>
      <x v="3"/>
    </i>
    <i>
      <x v="4"/>
    </i>
    <i>
      <x/>
    </i>
    <i t="grand">
      <x/>
    </i>
  </rowItems>
  <colItems count="1">
    <i/>
  </colItems>
  <dataFields count="1">
    <dataField name="Sum of Registered_Players" fld="3"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906AC2-E9BC-474B-ADC9-279CBC79F59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12">
    <pivotField showAll="0"/>
    <pivotField showAll="0"/>
    <pivotField showAll="0"/>
    <pivotField dataField="1" showAll="0"/>
    <pivotField showAll="0"/>
    <pivotField showAll="0"/>
    <pivotField showAll="0"/>
    <pivotField showAll="0"/>
    <pivotField showAll="0"/>
    <pivotField showAll="0"/>
    <pivotField showAll="0">
      <items count="4">
        <item h="1" x="1"/>
        <item h="1" x="0"/>
        <item x="2"/>
        <item t="default"/>
      </items>
    </pivotField>
    <pivotField dataField="1" showAll="0"/>
  </pivotFields>
  <rowItems count="1">
    <i/>
  </rowItems>
  <colFields count="1">
    <field x="-2"/>
  </colFields>
  <colItems count="2">
    <i>
      <x/>
    </i>
    <i i="1">
      <x v="1"/>
    </i>
  </colItems>
  <dataFields count="2">
    <dataField name="Sum of Total_Score" fld="11" baseField="0" baseItem="0"/>
    <dataField name="Count of Registered_Players" fld="3"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_Level" xr10:uid="{87B8A2D4-1197-4A05-B53E-E268DDB136E3}" sourceName="Popularity_Level">
  <pivotTables>
    <pivotTable tabId="4" name="PivotTable3"/>
    <pivotTable tabId="6" name="PivotTable5"/>
    <pivotTable tabId="5" name="PivotTable4"/>
    <pivotTable tabId="7" name="PivotTable6"/>
    <pivotTable tabId="12" name="PivotTable1"/>
  </pivotTables>
  <data>
    <tabular pivotCacheId="300937877">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rity_Level 2" xr10:uid="{8565C531-C3F2-4899-869B-7D6EBEC130AC}" cache="Slicer_Popularity_Level" caption="Popularity_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rity_Level" xr10:uid="{66509E8C-2AE2-4703-AFAD-186507E3B79D}" cache="Slicer_Popularity_Level" caption="Popularity_Level"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pularity_Level 1" xr10:uid="{B767BF56-3AD2-45DE-B891-CFFD4E1A4021}" cache="Slicer_Popularity_Level" caption="Popularity_Level" columnCount="3" showCaption="0" style="SlicerStyleDark1"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DEE307-A823-4A43-A310-9059D3BE0AC6}" name="Table1" displayName="Table1" ref="A1:L81" totalsRowShown="0">
  <autoFilter ref="A1:L81" xr:uid="{5FDEE307-A823-4A43-A310-9059D3BE0AC6}"/>
  <tableColumns count="12">
    <tableColumn id="1" xr3:uid="{356B9933-E0B6-46C6-8D27-AAE62810411B}" name="Record_id"/>
    <tableColumn id="2" xr3:uid="{29B76879-7364-4228-BA37-228AB7EBB599}" name="Major Sports"/>
    <tableColumn id="3" xr3:uid="{7560B676-9347-4067-97B4-3E676F18622C}" name="Minor Sports"/>
    <tableColumn id="4" xr3:uid="{39BFA763-F2E0-46BA-85C2-04C7DB731715}" name="Registered_Players"/>
    <tableColumn id="5" xr3:uid="{20440419-F601-4D90-8DAF-FACF33D1E1F6}" name="Primary_Score"/>
    <tableColumn id="6" xr3:uid="{9640D0BC-ADBA-4BA8-B9E3-B4446468EB6E}" name="Secondary_Score"/>
    <tableColumn id="7" xr3:uid="{958EFFD6-6265-4B47-A37E-E31F9E0CA531}" name="Event_Date"/>
    <tableColumn id="8" xr3:uid="{5E266F64-060F-466E-8E69-7089D878DAE0}" name="Region"/>
    <tableColumn id="9" xr3:uid="{6187BF4D-5F5E-453B-B378-F09171C14D93}" name="Country"/>
    <tableColumn id="10" xr3:uid="{59BFF708-69F7-4276-BDC6-AEA591B94B8D}" name="Target_Value"/>
    <tableColumn id="11" xr3:uid="{7C014918-E34F-4DFB-8B52-01B7715085BB}" name="Popularity_Level"/>
    <tableColumn id="12" xr3:uid="{E3616352-2E56-430C-9EAA-01AB81F40AE3}" name="Total_Score">
      <calculatedColumnFormula>SUM(Table1[[#This Row],[Primary_Score]],Table1[[#This Row],[Secondary_Score]])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F0F9-66F9-47E8-BFAA-EBDDF91C6795}">
  <dimension ref="A3:B13"/>
  <sheetViews>
    <sheetView workbookViewId="0"/>
  </sheetViews>
  <sheetFormatPr defaultRowHeight="15" x14ac:dyDescent="0.25"/>
  <cols>
    <col min="1" max="1" width="16" bestFit="1" customWidth="1"/>
    <col min="2" max="2" width="18.140625" bestFit="1" customWidth="1"/>
  </cols>
  <sheetData>
    <row r="3" spans="1:2" x14ac:dyDescent="0.25">
      <c r="A3" s="1" t="s">
        <v>118</v>
      </c>
      <c r="B3" t="s">
        <v>122</v>
      </c>
    </row>
    <row r="4" spans="1:2" x14ac:dyDescent="0.25">
      <c r="A4" s="2" t="s">
        <v>32</v>
      </c>
      <c r="B4" s="3">
        <v>167</v>
      </c>
    </row>
    <row r="5" spans="1:2" x14ac:dyDescent="0.25">
      <c r="A5" s="2" t="s">
        <v>24</v>
      </c>
      <c r="B5" s="3">
        <v>176</v>
      </c>
    </row>
    <row r="6" spans="1:2" x14ac:dyDescent="0.25">
      <c r="A6" s="2" t="s">
        <v>28</v>
      </c>
      <c r="B6" s="3">
        <v>184</v>
      </c>
    </row>
    <row r="7" spans="1:2" x14ac:dyDescent="0.25">
      <c r="A7" s="2" t="s">
        <v>33</v>
      </c>
      <c r="B7" s="3">
        <v>193</v>
      </c>
    </row>
    <row r="8" spans="1:2" x14ac:dyDescent="0.25">
      <c r="A8" s="2" t="s">
        <v>26</v>
      </c>
      <c r="B8" s="3">
        <v>207</v>
      </c>
    </row>
    <row r="9" spans="1:2" x14ac:dyDescent="0.25">
      <c r="A9" s="2" t="s">
        <v>25</v>
      </c>
      <c r="B9" s="3">
        <v>236</v>
      </c>
    </row>
    <row r="10" spans="1:2" x14ac:dyDescent="0.25">
      <c r="A10" s="2" t="s">
        <v>30</v>
      </c>
      <c r="B10" s="3">
        <v>281</v>
      </c>
    </row>
    <row r="11" spans="1:2" x14ac:dyDescent="0.25">
      <c r="A11" s="2" t="s">
        <v>31</v>
      </c>
      <c r="B11" s="3">
        <v>296</v>
      </c>
    </row>
    <row r="12" spans="1:2" x14ac:dyDescent="0.25">
      <c r="A12" s="2" t="s">
        <v>27</v>
      </c>
      <c r="B12" s="3">
        <v>363</v>
      </c>
    </row>
    <row r="13" spans="1:2" x14ac:dyDescent="0.25">
      <c r="A13" s="2" t="s">
        <v>119</v>
      </c>
      <c r="B13" s="3">
        <v>2103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A044B-ACF1-4138-8CC1-73B0C7D05045}">
  <dimension ref="A3:B13"/>
  <sheetViews>
    <sheetView workbookViewId="0">
      <selection activeCell="G14" sqref="G14"/>
    </sheetView>
  </sheetViews>
  <sheetFormatPr defaultRowHeight="15" x14ac:dyDescent="0.25"/>
  <cols>
    <col min="1" max="1" width="13.140625" bestFit="1" customWidth="1"/>
    <col min="2" max="2" width="18.140625" bestFit="1" customWidth="1"/>
  </cols>
  <sheetData>
    <row r="3" spans="1:2" x14ac:dyDescent="0.25">
      <c r="A3" s="1" t="s">
        <v>118</v>
      </c>
      <c r="B3" t="s">
        <v>122</v>
      </c>
    </row>
    <row r="4" spans="1:2" x14ac:dyDescent="0.25">
      <c r="A4" s="2" t="s">
        <v>37</v>
      </c>
      <c r="B4" s="3">
        <v>363</v>
      </c>
    </row>
    <row r="5" spans="1:2" x14ac:dyDescent="0.25">
      <c r="A5" s="2" t="s">
        <v>41</v>
      </c>
      <c r="B5" s="3">
        <v>296</v>
      </c>
    </row>
    <row r="6" spans="1:2" x14ac:dyDescent="0.25">
      <c r="A6" s="2" t="s">
        <v>40</v>
      </c>
      <c r="B6" s="3">
        <v>281</v>
      </c>
    </row>
    <row r="7" spans="1:2" x14ac:dyDescent="0.25">
      <c r="A7" s="2" t="s">
        <v>35</v>
      </c>
      <c r="B7" s="3">
        <v>236</v>
      </c>
    </row>
    <row r="8" spans="1:2" x14ac:dyDescent="0.25">
      <c r="A8" s="2" t="s">
        <v>36</v>
      </c>
      <c r="B8" s="3">
        <v>207</v>
      </c>
    </row>
    <row r="9" spans="1:2" x14ac:dyDescent="0.25">
      <c r="A9" s="2" t="s">
        <v>43</v>
      </c>
      <c r="B9" s="3">
        <v>193</v>
      </c>
    </row>
    <row r="10" spans="1:2" x14ac:dyDescent="0.25">
      <c r="A10" s="2" t="s">
        <v>38</v>
      </c>
      <c r="B10" s="3">
        <v>184</v>
      </c>
    </row>
    <row r="11" spans="1:2" x14ac:dyDescent="0.25">
      <c r="A11" s="2" t="s">
        <v>34</v>
      </c>
      <c r="B11" s="3">
        <v>176</v>
      </c>
    </row>
    <row r="12" spans="1:2" x14ac:dyDescent="0.25">
      <c r="A12" s="2" t="s">
        <v>42</v>
      </c>
      <c r="B12" s="3">
        <v>167</v>
      </c>
    </row>
    <row r="13" spans="1:2" x14ac:dyDescent="0.25">
      <c r="A13" s="2" t="s">
        <v>119</v>
      </c>
      <c r="B13" s="3">
        <v>2103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30B5-3F8D-406E-9B7E-1AC1E7418C75}">
  <dimension ref="A3:B7"/>
  <sheetViews>
    <sheetView workbookViewId="0">
      <selection activeCell="F6" sqref="F6"/>
    </sheetView>
  </sheetViews>
  <sheetFormatPr defaultRowHeight="15" x14ac:dyDescent="0.25"/>
  <cols>
    <col min="1" max="1" width="13.140625" bestFit="1" customWidth="1"/>
    <col min="2" max="2" width="19.5703125" bestFit="1" customWidth="1"/>
  </cols>
  <sheetData>
    <row r="3" spans="1:2" x14ac:dyDescent="0.25">
      <c r="A3" s="1" t="s">
        <v>118</v>
      </c>
      <c r="B3" t="s">
        <v>120</v>
      </c>
    </row>
    <row r="4" spans="1:2" x14ac:dyDescent="0.25">
      <c r="A4" s="2" t="s">
        <v>75</v>
      </c>
      <c r="B4" s="3">
        <v>3759</v>
      </c>
    </row>
    <row r="5" spans="1:2" x14ac:dyDescent="0.25">
      <c r="A5" s="2" t="s">
        <v>99</v>
      </c>
      <c r="B5" s="3">
        <v>3548</v>
      </c>
    </row>
    <row r="6" spans="1:2" x14ac:dyDescent="0.25">
      <c r="A6" s="2" t="s">
        <v>79</v>
      </c>
      <c r="B6" s="3">
        <v>784</v>
      </c>
    </row>
    <row r="7" spans="1:2" x14ac:dyDescent="0.25">
      <c r="A7" s="2" t="s">
        <v>119</v>
      </c>
      <c r="B7" s="3">
        <v>8091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22DE-E2D6-4D0D-BE18-5D1CA309D378}">
  <dimension ref="A3:B8"/>
  <sheetViews>
    <sheetView workbookViewId="0">
      <selection activeCell="B17" sqref="B17"/>
    </sheetView>
  </sheetViews>
  <sheetFormatPr defaultRowHeight="15" x14ac:dyDescent="0.25"/>
  <cols>
    <col min="1" max="1" width="14" bestFit="1" customWidth="1"/>
    <col min="2" max="2" width="25" bestFit="1" customWidth="1"/>
  </cols>
  <sheetData>
    <row r="3" spans="1:2" x14ac:dyDescent="0.25">
      <c r="A3" s="1" t="s">
        <v>118</v>
      </c>
      <c r="B3" t="s">
        <v>121</v>
      </c>
    </row>
    <row r="4" spans="1:2" x14ac:dyDescent="0.25">
      <c r="A4" s="2" t="s">
        <v>56</v>
      </c>
      <c r="B4" s="3">
        <v>477</v>
      </c>
    </row>
    <row r="5" spans="1:2" x14ac:dyDescent="0.25">
      <c r="A5" s="2" t="s">
        <v>59</v>
      </c>
      <c r="B5" s="3">
        <v>4854</v>
      </c>
    </row>
    <row r="6" spans="1:2" x14ac:dyDescent="0.25">
      <c r="A6" s="2" t="s">
        <v>65</v>
      </c>
      <c r="B6" s="3">
        <v>4943</v>
      </c>
    </row>
    <row r="7" spans="1:2" x14ac:dyDescent="0.25">
      <c r="A7" s="2" t="s">
        <v>57</v>
      </c>
      <c r="B7" s="3">
        <v>13263</v>
      </c>
    </row>
    <row r="8" spans="1:2" x14ac:dyDescent="0.25">
      <c r="A8" s="2" t="s">
        <v>119</v>
      </c>
      <c r="B8" s="3">
        <v>23537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1898-D164-4F4D-A67E-D58AABD359E7}">
  <dimension ref="A3:E10"/>
  <sheetViews>
    <sheetView workbookViewId="0">
      <selection activeCell="A9" sqref="A9"/>
    </sheetView>
  </sheetViews>
  <sheetFormatPr defaultRowHeight="15" x14ac:dyDescent="0.25"/>
  <cols>
    <col min="1" max="1" width="18.140625" bestFit="1" customWidth="1"/>
    <col min="2" max="2" width="26.5703125" bestFit="1" customWidth="1"/>
    <col min="5" max="5" width="39" customWidth="1"/>
  </cols>
  <sheetData>
    <row r="3" spans="1:5" x14ac:dyDescent="0.25">
      <c r="A3" t="s">
        <v>122</v>
      </c>
      <c r="B3" t="s">
        <v>124</v>
      </c>
    </row>
    <row r="4" spans="1:5" x14ac:dyDescent="0.25">
      <c r="A4" s="3">
        <v>2103</v>
      </c>
      <c r="B4" s="3">
        <v>20</v>
      </c>
    </row>
    <row r="9" spans="1:5" x14ac:dyDescent="0.25">
      <c r="E9" t="s">
        <v>123</v>
      </c>
    </row>
    <row r="10" spans="1:5" x14ac:dyDescent="0.25">
      <c r="E10">
        <f>B4</f>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
  <sheetViews>
    <sheetView workbookViewId="0">
      <selection sqref="A1:L81"/>
    </sheetView>
  </sheetViews>
  <sheetFormatPr defaultRowHeight="15" x14ac:dyDescent="0.25"/>
  <cols>
    <col min="1" max="1" width="12" customWidth="1"/>
    <col min="2" max="2" width="17.42578125" bestFit="1" customWidth="1"/>
    <col min="3" max="3" width="14.5703125" customWidth="1"/>
    <col min="4" max="4" width="20.140625" customWidth="1"/>
    <col min="5" max="5" width="15.85546875" customWidth="1"/>
    <col min="6" max="6" width="18.140625" customWidth="1"/>
    <col min="7" max="7" width="13.28515625" customWidth="1"/>
    <col min="8" max="8" width="16" bestFit="1" customWidth="1"/>
    <col min="9" max="9" width="20" bestFit="1" customWidth="1"/>
    <col min="10" max="10" width="14.85546875" customWidth="1"/>
    <col min="11" max="11" width="18" customWidth="1"/>
    <col min="12" max="12" width="13.5703125" customWidth="1"/>
  </cols>
  <sheetData>
    <row r="1" spans="1:12" x14ac:dyDescent="0.25">
      <c r="A1" t="s">
        <v>116</v>
      </c>
      <c r="B1" t="s">
        <v>44</v>
      </c>
      <c r="C1" t="s">
        <v>45</v>
      </c>
      <c r="D1" t="s">
        <v>110</v>
      </c>
      <c r="E1" t="s">
        <v>111</v>
      </c>
      <c r="F1" t="s">
        <v>112</v>
      </c>
      <c r="G1" t="s">
        <v>115</v>
      </c>
      <c r="H1" t="s">
        <v>0</v>
      </c>
      <c r="I1" t="s">
        <v>109</v>
      </c>
      <c r="J1" t="s">
        <v>114</v>
      </c>
      <c r="K1" t="s">
        <v>113</v>
      </c>
      <c r="L1" t="s">
        <v>117</v>
      </c>
    </row>
    <row r="2" spans="1:12" x14ac:dyDescent="0.25">
      <c r="A2">
        <v>1</v>
      </c>
      <c r="B2" t="s">
        <v>24</v>
      </c>
      <c r="C2" t="s">
        <v>34</v>
      </c>
      <c r="D2">
        <v>1399</v>
      </c>
      <c r="E2">
        <v>92</v>
      </c>
      <c r="F2">
        <v>28</v>
      </c>
      <c r="G2" t="s">
        <v>1</v>
      </c>
      <c r="H2" t="s">
        <v>49</v>
      </c>
      <c r="I2" t="s">
        <v>69</v>
      </c>
      <c r="J2">
        <v>3641</v>
      </c>
      <c r="K2" t="s">
        <v>46</v>
      </c>
      <c r="L2">
        <f>SUM(Table1[[#This Row],[Primary_Score]],Table1[[#This Row],[Secondary_Score]])</f>
        <v>120</v>
      </c>
    </row>
    <row r="3" spans="1:12" x14ac:dyDescent="0.25">
      <c r="A3">
        <v>2</v>
      </c>
      <c r="B3" t="s">
        <v>25</v>
      </c>
      <c r="C3" t="s">
        <v>35</v>
      </c>
      <c r="D3">
        <v>916</v>
      </c>
      <c r="E3">
        <v>78</v>
      </c>
      <c r="F3">
        <v>50</v>
      </c>
      <c r="G3" t="s">
        <v>2</v>
      </c>
      <c r="H3" t="s">
        <v>50</v>
      </c>
      <c r="I3" t="s">
        <v>70</v>
      </c>
      <c r="J3">
        <v>2797</v>
      </c>
      <c r="K3" t="s">
        <v>47</v>
      </c>
      <c r="L3">
        <f>SUM(Table1[[#This Row],[Primary_Score]],Table1[[#This Row],[Secondary_Score]])</f>
        <v>128</v>
      </c>
    </row>
    <row r="4" spans="1:12" x14ac:dyDescent="0.25">
      <c r="A4">
        <v>3</v>
      </c>
      <c r="B4" t="s">
        <v>26</v>
      </c>
      <c r="C4" t="s">
        <v>36</v>
      </c>
      <c r="D4">
        <v>1045</v>
      </c>
      <c r="E4">
        <v>11</v>
      </c>
      <c r="F4">
        <v>76</v>
      </c>
      <c r="G4" t="s">
        <v>3</v>
      </c>
      <c r="H4" t="s">
        <v>51</v>
      </c>
      <c r="I4" t="s">
        <v>71</v>
      </c>
      <c r="J4">
        <v>2413</v>
      </c>
      <c r="K4" t="s">
        <v>48</v>
      </c>
      <c r="L4">
        <f>SUM(Table1[[#This Row],[Primary_Score]],Table1[[#This Row],[Secondary_Score]])</f>
        <v>87</v>
      </c>
    </row>
    <row r="5" spans="1:12" x14ac:dyDescent="0.25">
      <c r="A5">
        <v>4</v>
      </c>
      <c r="B5" t="s">
        <v>27</v>
      </c>
      <c r="C5" t="s">
        <v>37</v>
      </c>
      <c r="D5">
        <v>4517</v>
      </c>
      <c r="E5">
        <v>85</v>
      </c>
      <c r="F5">
        <v>5</v>
      </c>
      <c r="G5" t="s">
        <v>4</v>
      </c>
      <c r="H5" t="s">
        <v>52</v>
      </c>
      <c r="I5" t="s">
        <v>72</v>
      </c>
      <c r="J5">
        <v>4344</v>
      </c>
      <c r="K5" t="s">
        <v>46</v>
      </c>
      <c r="L5">
        <f>SUM(Table1[[#This Row],[Primary_Score]],Table1[[#This Row],[Secondary_Score]])</f>
        <v>90</v>
      </c>
    </row>
    <row r="6" spans="1:12" x14ac:dyDescent="0.25">
      <c r="A6">
        <v>5</v>
      </c>
      <c r="B6" t="s">
        <v>28</v>
      </c>
      <c r="C6" t="s">
        <v>38</v>
      </c>
      <c r="D6">
        <v>259</v>
      </c>
      <c r="E6">
        <v>92</v>
      </c>
      <c r="F6">
        <v>54</v>
      </c>
      <c r="G6" t="s">
        <v>5</v>
      </c>
      <c r="H6" t="s">
        <v>53</v>
      </c>
      <c r="I6" t="s">
        <v>73</v>
      </c>
      <c r="J6">
        <v>594</v>
      </c>
      <c r="K6" t="s">
        <v>46</v>
      </c>
      <c r="L6">
        <f>SUM(Table1[[#This Row],[Primary_Score]],Table1[[#This Row],[Secondary_Score]])</f>
        <v>146</v>
      </c>
    </row>
    <row r="7" spans="1:12" x14ac:dyDescent="0.25">
      <c r="A7">
        <v>6</v>
      </c>
      <c r="B7" t="s">
        <v>29</v>
      </c>
      <c r="C7" t="s">
        <v>39</v>
      </c>
      <c r="D7">
        <v>9814</v>
      </c>
      <c r="E7">
        <v>90</v>
      </c>
      <c r="F7">
        <v>33</v>
      </c>
      <c r="G7" t="s">
        <v>6</v>
      </c>
      <c r="H7" t="s">
        <v>54</v>
      </c>
      <c r="I7" t="s">
        <v>74</v>
      </c>
      <c r="J7">
        <v>3789</v>
      </c>
      <c r="K7" t="s">
        <v>47</v>
      </c>
      <c r="L7">
        <f>SUM(Table1[[#This Row],[Primary_Score]],Table1[[#This Row],[Secondary_Score]])</f>
        <v>123</v>
      </c>
    </row>
    <row r="8" spans="1:12" x14ac:dyDescent="0.25">
      <c r="A8">
        <v>7</v>
      </c>
      <c r="B8" t="s">
        <v>30</v>
      </c>
      <c r="C8" t="s">
        <v>40</v>
      </c>
      <c r="D8">
        <v>9875</v>
      </c>
      <c r="E8">
        <v>27</v>
      </c>
      <c r="F8">
        <v>19</v>
      </c>
      <c r="G8" t="s">
        <v>7</v>
      </c>
      <c r="H8" t="s">
        <v>55</v>
      </c>
      <c r="I8" t="s">
        <v>75</v>
      </c>
      <c r="J8">
        <v>3759</v>
      </c>
      <c r="K8" t="s">
        <v>48</v>
      </c>
      <c r="L8">
        <f>SUM(Table1[[#This Row],[Primary_Score]],Table1[[#This Row],[Secondary_Score]])</f>
        <v>46</v>
      </c>
    </row>
    <row r="9" spans="1:12" x14ac:dyDescent="0.25">
      <c r="A9">
        <v>8</v>
      </c>
      <c r="B9" t="s">
        <v>31</v>
      </c>
      <c r="C9" t="s">
        <v>41</v>
      </c>
      <c r="D9">
        <v>8233</v>
      </c>
      <c r="E9">
        <v>91</v>
      </c>
      <c r="F9">
        <v>75</v>
      </c>
      <c r="G9" t="s">
        <v>8</v>
      </c>
      <c r="H9" t="s">
        <v>56</v>
      </c>
      <c r="I9" t="s">
        <v>76</v>
      </c>
      <c r="J9">
        <v>3870</v>
      </c>
      <c r="K9" t="s">
        <v>47</v>
      </c>
      <c r="L9">
        <f>SUM(Table1[[#This Row],[Primary_Score]],Table1[[#This Row],[Secondary_Score]])</f>
        <v>166</v>
      </c>
    </row>
    <row r="10" spans="1:12" x14ac:dyDescent="0.25">
      <c r="A10">
        <v>9</v>
      </c>
      <c r="B10" t="s">
        <v>32</v>
      </c>
      <c r="C10" t="s">
        <v>42</v>
      </c>
      <c r="D10">
        <v>2927</v>
      </c>
      <c r="E10">
        <v>6</v>
      </c>
      <c r="F10">
        <v>80</v>
      </c>
      <c r="G10" t="s">
        <v>9</v>
      </c>
      <c r="H10" t="s">
        <v>57</v>
      </c>
      <c r="I10" t="s">
        <v>77</v>
      </c>
      <c r="J10">
        <v>2916</v>
      </c>
      <c r="K10" t="s">
        <v>46</v>
      </c>
      <c r="L10">
        <f>SUM(Table1[[#This Row],[Primary_Score]],Table1[[#This Row],[Secondary_Score]])</f>
        <v>86</v>
      </c>
    </row>
    <row r="11" spans="1:12" x14ac:dyDescent="0.25">
      <c r="A11">
        <v>10</v>
      </c>
      <c r="B11" t="s">
        <v>33</v>
      </c>
      <c r="C11" t="s">
        <v>43</v>
      </c>
      <c r="D11">
        <v>192</v>
      </c>
      <c r="E11">
        <v>19</v>
      </c>
      <c r="F11">
        <v>38</v>
      </c>
      <c r="G11" t="s">
        <v>5</v>
      </c>
      <c r="H11" t="s">
        <v>58</v>
      </c>
      <c r="I11" t="s">
        <v>78</v>
      </c>
      <c r="J11">
        <v>3045</v>
      </c>
      <c r="K11" t="s">
        <v>48</v>
      </c>
      <c r="L11">
        <f>SUM(Table1[[#This Row],[Primary_Score]],Table1[[#This Row],[Secondary_Score]])</f>
        <v>57</v>
      </c>
    </row>
    <row r="12" spans="1:12" x14ac:dyDescent="0.25">
      <c r="A12">
        <v>11</v>
      </c>
      <c r="B12" t="s">
        <v>24</v>
      </c>
      <c r="C12" t="s">
        <v>34</v>
      </c>
      <c r="D12">
        <v>1934</v>
      </c>
      <c r="E12">
        <v>26</v>
      </c>
      <c r="F12">
        <v>59</v>
      </c>
      <c r="G12">
        <v>45305</v>
      </c>
      <c r="H12" t="s">
        <v>49</v>
      </c>
      <c r="I12" t="s">
        <v>69</v>
      </c>
      <c r="J12">
        <v>928</v>
      </c>
      <c r="K12" t="s">
        <v>46</v>
      </c>
      <c r="L12">
        <f>SUM(Table1[[#This Row],[Primary_Score]],Table1[[#This Row],[Secondary_Score]])</f>
        <v>85</v>
      </c>
    </row>
    <row r="13" spans="1:12" x14ac:dyDescent="0.25">
      <c r="A13">
        <v>12</v>
      </c>
      <c r="B13" t="s">
        <v>25</v>
      </c>
      <c r="C13" t="s">
        <v>35</v>
      </c>
      <c r="D13">
        <v>4918</v>
      </c>
      <c r="E13">
        <v>66</v>
      </c>
      <c r="F13">
        <v>66</v>
      </c>
      <c r="G13" t="s">
        <v>5</v>
      </c>
      <c r="H13" t="s">
        <v>50</v>
      </c>
      <c r="I13" t="s">
        <v>70</v>
      </c>
      <c r="J13">
        <v>529</v>
      </c>
      <c r="K13" t="s">
        <v>47</v>
      </c>
      <c r="L13">
        <f>SUM(Table1[[#This Row],[Primary_Score]],Table1[[#This Row],[Secondary_Score]])</f>
        <v>132</v>
      </c>
    </row>
    <row r="14" spans="1:12" x14ac:dyDescent="0.25">
      <c r="A14">
        <v>13</v>
      </c>
      <c r="B14" t="s">
        <v>26</v>
      </c>
      <c r="C14" t="s">
        <v>36</v>
      </c>
      <c r="D14">
        <v>3517</v>
      </c>
      <c r="E14">
        <v>26</v>
      </c>
      <c r="F14">
        <v>49</v>
      </c>
      <c r="G14" t="s">
        <v>7</v>
      </c>
      <c r="H14" t="s">
        <v>51</v>
      </c>
      <c r="I14" t="s">
        <v>71</v>
      </c>
      <c r="J14">
        <v>1683</v>
      </c>
      <c r="K14" t="s">
        <v>47</v>
      </c>
      <c r="L14">
        <f>SUM(Table1[[#This Row],[Primary_Score]],Table1[[#This Row],[Secondary_Score]])</f>
        <v>75</v>
      </c>
    </row>
    <row r="15" spans="1:12" x14ac:dyDescent="0.25">
      <c r="A15">
        <v>14</v>
      </c>
      <c r="B15" t="s">
        <v>27</v>
      </c>
      <c r="C15" t="s">
        <v>37</v>
      </c>
      <c r="D15">
        <v>6976</v>
      </c>
      <c r="E15">
        <v>95</v>
      </c>
      <c r="F15">
        <v>19</v>
      </c>
      <c r="G15" t="s">
        <v>10</v>
      </c>
      <c r="H15" t="s">
        <v>52</v>
      </c>
      <c r="I15" t="s">
        <v>72</v>
      </c>
      <c r="J15">
        <v>1396</v>
      </c>
      <c r="K15" t="s">
        <v>48</v>
      </c>
      <c r="L15">
        <f>SUM(Table1[[#This Row],[Primary_Score]],Table1[[#This Row],[Secondary_Score]])</f>
        <v>114</v>
      </c>
    </row>
    <row r="16" spans="1:12" x14ac:dyDescent="0.25">
      <c r="A16">
        <v>15</v>
      </c>
      <c r="B16" t="s">
        <v>28</v>
      </c>
      <c r="C16" t="s">
        <v>38</v>
      </c>
      <c r="D16">
        <v>9190</v>
      </c>
      <c r="E16">
        <v>58</v>
      </c>
      <c r="F16">
        <v>60</v>
      </c>
      <c r="G16" t="s">
        <v>2</v>
      </c>
      <c r="H16" t="s">
        <v>53</v>
      </c>
      <c r="I16" t="s">
        <v>73</v>
      </c>
      <c r="J16">
        <v>2815</v>
      </c>
      <c r="K16" t="s">
        <v>46</v>
      </c>
      <c r="L16">
        <f>SUM(Table1[[#This Row],[Primary_Score]],Table1[[#This Row],[Secondary_Score]])</f>
        <v>118</v>
      </c>
    </row>
    <row r="17" spans="1:12" x14ac:dyDescent="0.25">
      <c r="A17">
        <v>16</v>
      </c>
      <c r="B17" t="s">
        <v>29</v>
      </c>
      <c r="C17" t="s">
        <v>39</v>
      </c>
      <c r="D17">
        <v>7277</v>
      </c>
      <c r="E17">
        <v>44</v>
      </c>
      <c r="F17">
        <v>64</v>
      </c>
      <c r="G17" t="s">
        <v>11</v>
      </c>
      <c r="H17" t="s">
        <v>54</v>
      </c>
      <c r="I17" t="s">
        <v>74</v>
      </c>
      <c r="J17">
        <v>1143</v>
      </c>
      <c r="K17" t="s">
        <v>46</v>
      </c>
      <c r="L17">
        <f>SUM(Table1[[#This Row],[Primary_Score]],Table1[[#This Row],[Secondary_Score]])</f>
        <v>108</v>
      </c>
    </row>
    <row r="18" spans="1:12" x14ac:dyDescent="0.25">
      <c r="A18">
        <v>17</v>
      </c>
      <c r="B18" t="s">
        <v>30</v>
      </c>
      <c r="C18" t="s">
        <v>40</v>
      </c>
      <c r="D18">
        <v>3146</v>
      </c>
      <c r="E18">
        <v>69</v>
      </c>
      <c r="F18">
        <v>18</v>
      </c>
      <c r="G18" t="s">
        <v>12</v>
      </c>
      <c r="H18" t="s">
        <v>55</v>
      </c>
      <c r="I18" t="s">
        <v>75</v>
      </c>
      <c r="J18">
        <v>2394</v>
      </c>
      <c r="K18" t="s">
        <v>47</v>
      </c>
      <c r="L18">
        <f>SUM(Table1[[#This Row],[Primary_Score]],Table1[[#This Row],[Secondary_Score]])</f>
        <v>87</v>
      </c>
    </row>
    <row r="19" spans="1:12" x14ac:dyDescent="0.25">
      <c r="A19">
        <v>18</v>
      </c>
      <c r="B19" t="s">
        <v>31</v>
      </c>
      <c r="C19" t="s">
        <v>41</v>
      </c>
      <c r="D19">
        <v>477</v>
      </c>
      <c r="E19">
        <v>100</v>
      </c>
      <c r="F19">
        <v>54</v>
      </c>
      <c r="G19" t="s">
        <v>13</v>
      </c>
      <c r="H19" t="s">
        <v>56</v>
      </c>
      <c r="I19" t="s">
        <v>76</v>
      </c>
      <c r="J19">
        <v>2991</v>
      </c>
      <c r="K19" t="s">
        <v>48</v>
      </c>
      <c r="L19">
        <f>SUM(Table1[[#This Row],[Primary_Score]],Table1[[#This Row],[Secondary_Score]])</f>
        <v>154</v>
      </c>
    </row>
    <row r="20" spans="1:12" x14ac:dyDescent="0.25">
      <c r="A20">
        <v>19</v>
      </c>
      <c r="B20" t="s">
        <v>32</v>
      </c>
      <c r="C20" t="s">
        <v>42</v>
      </c>
      <c r="D20">
        <v>1672</v>
      </c>
      <c r="E20">
        <v>6</v>
      </c>
      <c r="F20">
        <v>68</v>
      </c>
      <c r="G20">
        <v>45300</v>
      </c>
      <c r="H20" t="s">
        <v>57</v>
      </c>
      <c r="I20" t="s">
        <v>77</v>
      </c>
      <c r="J20">
        <v>2996</v>
      </c>
      <c r="K20" t="s">
        <v>46</v>
      </c>
      <c r="L20">
        <f>SUM(Table1[[#This Row],[Primary_Score]],Table1[[#This Row],[Secondary_Score]])</f>
        <v>74</v>
      </c>
    </row>
    <row r="21" spans="1:12" x14ac:dyDescent="0.25">
      <c r="A21">
        <v>20</v>
      </c>
      <c r="B21" t="s">
        <v>33</v>
      </c>
      <c r="C21" t="s">
        <v>43</v>
      </c>
      <c r="D21">
        <v>1206</v>
      </c>
      <c r="E21">
        <v>70</v>
      </c>
      <c r="F21">
        <v>23</v>
      </c>
      <c r="G21" t="s">
        <v>11</v>
      </c>
      <c r="H21" t="s">
        <v>58</v>
      </c>
      <c r="I21" t="s">
        <v>78</v>
      </c>
      <c r="J21">
        <v>1075</v>
      </c>
      <c r="K21" t="s">
        <v>47</v>
      </c>
      <c r="L21">
        <f>SUM(Table1[[#This Row],[Primary_Score]],Table1[[#This Row],[Secondary_Score]])</f>
        <v>93</v>
      </c>
    </row>
    <row r="22" spans="1:12" x14ac:dyDescent="0.25">
      <c r="A22">
        <v>21</v>
      </c>
      <c r="B22" t="s">
        <v>24</v>
      </c>
      <c r="C22" t="s">
        <v>34</v>
      </c>
      <c r="D22">
        <v>4854</v>
      </c>
      <c r="E22">
        <v>2</v>
      </c>
      <c r="F22">
        <v>80</v>
      </c>
      <c r="G22" t="s">
        <v>14</v>
      </c>
      <c r="H22" t="s">
        <v>59</v>
      </c>
      <c r="I22" t="s">
        <v>79</v>
      </c>
      <c r="J22">
        <v>784</v>
      </c>
      <c r="K22" t="s">
        <v>48</v>
      </c>
      <c r="L22">
        <f>SUM(Table1[[#This Row],[Primary_Score]],Table1[[#This Row],[Secondary_Score]])</f>
        <v>82</v>
      </c>
    </row>
    <row r="23" spans="1:12" x14ac:dyDescent="0.25">
      <c r="A23">
        <v>22</v>
      </c>
      <c r="B23" t="s">
        <v>25</v>
      </c>
      <c r="C23" t="s">
        <v>35</v>
      </c>
      <c r="D23">
        <v>5537</v>
      </c>
      <c r="E23">
        <v>31</v>
      </c>
      <c r="F23">
        <v>91</v>
      </c>
      <c r="G23" t="s">
        <v>15</v>
      </c>
      <c r="H23" t="s">
        <v>60</v>
      </c>
      <c r="I23" t="s">
        <v>80</v>
      </c>
      <c r="J23">
        <v>2904</v>
      </c>
      <c r="K23" t="s">
        <v>47</v>
      </c>
      <c r="L23">
        <f>SUM(Table1[[#This Row],[Primary_Score]],Table1[[#This Row],[Secondary_Score]])</f>
        <v>122</v>
      </c>
    </row>
    <row r="24" spans="1:12" x14ac:dyDescent="0.25">
      <c r="A24">
        <v>23</v>
      </c>
      <c r="B24" t="s">
        <v>26</v>
      </c>
      <c r="C24" t="s">
        <v>36</v>
      </c>
      <c r="D24">
        <v>4134</v>
      </c>
      <c r="E24">
        <v>89</v>
      </c>
      <c r="F24">
        <v>26</v>
      </c>
      <c r="G24" t="s">
        <v>16</v>
      </c>
      <c r="H24" t="s">
        <v>61</v>
      </c>
      <c r="I24" t="s">
        <v>81</v>
      </c>
      <c r="J24">
        <v>1184</v>
      </c>
      <c r="K24" t="s">
        <v>47</v>
      </c>
      <c r="L24">
        <f>SUM(Table1[[#This Row],[Primary_Score]],Table1[[#This Row],[Secondary_Score]])</f>
        <v>115</v>
      </c>
    </row>
    <row r="25" spans="1:12" x14ac:dyDescent="0.25">
      <c r="A25">
        <v>24</v>
      </c>
      <c r="B25" t="s">
        <v>27</v>
      </c>
      <c r="C25" t="s">
        <v>37</v>
      </c>
      <c r="D25">
        <v>2095</v>
      </c>
      <c r="E25">
        <v>30</v>
      </c>
      <c r="F25">
        <v>51</v>
      </c>
      <c r="G25" t="s">
        <v>17</v>
      </c>
      <c r="H25" t="s">
        <v>62</v>
      </c>
      <c r="I25" t="s">
        <v>82</v>
      </c>
      <c r="J25">
        <v>4150</v>
      </c>
      <c r="K25" t="s">
        <v>46</v>
      </c>
      <c r="L25">
        <f>SUM(Table1[[#This Row],[Primary_Score]],Table1[[#This Row],[Secondary_Score]])</f>
        <v>81</v>
      </c>
    </row>
    <row r="26" spans="1:12" x14ac:dyDescent="0.25">
      <c r="A26">
        <v>25</v>
      </c>
      <c r="B26" t="s">
        <v>28</v>
      </c>
      <c r="C26" t="s">
        <v>38</v>
      </c>
      <c r="D26">
        <v>9001</v>
      </c>
      <c r="E26">
        <v>37</v>
      </c>
      <c r="F26">
        <v>41</v>
      </c>
      <c r="G26" t="s">
        <v>18</v>
      </c>
      <c r="H26" t="s">
        <v>63</v>
      </c>
      <c r="I26" t="s">
        <v>83</v>
      </c>
      <c r="J26">
        <v>1958</v>
      </c>
      <c r="K26" t="s">
        <v>48</v>
      </c>
      <c r="L26">
        <f>SUM(Table1[[#This Row],[Primary_Score]],Table1[[#This Row],[Secondary_Score]])</f>
        <v>78</v>
      </c>
    </row>
    <row r="27" spans="1:12" x14ac:dyDescent="0.25">
      <c r="A27">
        <v>26</v>
      </c>
      <c r="B27" t="s">
        <v>29</v>
      </c>
      <c r="C27" t="s">
        <v>39</v>
      </c>
      <c r="D27">
        <v>9116</v>
      </c>
      <c r="E27">
        <v>67</v>
      </c>
      <c r="F27">
        <v>53</v>
      </c>
      <c r="G27" t="s">
        <v>16</v>
      </c>
      <c r="H27" t="s">
        <v>64</v>
      </c>
      <c r="I27" t="s">
        <v>84</v>
      </c>
      <c r="J27">
        <v>4897</v>
      </c>
      <c r="K27" t="s">
        <v>46</v>
      </c>
      <c r="L27">
        <f>SUM(Table1[[#This Row],[Primary_Score]],Table1[[#This Row],[Secondary_Score]])</f>
        <v>120</v>
      </c>
    </row>
    <row r="28" spans="1:12" x14ac:dyDescent="0.25">
      <c r="A28">
        <v>27</v>
      </c>
      <c r="B28" t="s">
        <v>30</v>
      </c>
      <c r="C28" t="s">
        <v>40</v>
      </c>
      <c r="D28">
        <v>4033</v>
      </c>
      <c r="E28">
        <v>12</v>
      </c>
      <c r="F28">
        <v>40</v>
      </c>
      <c r="G28" t="s">
        <v>13</v>
      </c>
      <c r="H28" t="s">
        <v>65</v>
      </c>
      <c r="I28" t="s">
        <v>85</v>
      </c>
      <c r="J28">
        <v>827</v>
      </c>
      <c r="K28" t="s">
        <v>47</v>
      </c>
      <c r="L28">
        <f>SUM(Table1[[#This Row],[Primary_Score]],Table1[[#This Row],[Secondary_Score]])</f>
        <v>52</v>
      </c>
    </row>
    <row r="29" spans="1:12" x14ac:dyDescent="0.25">
      <c r="A29">
        <v>28</v>
      </c>
      <c r="B29" t="s">
        <v>31</v>
      </c>
      <c r="C29" t="s">
        <v>41</v>
      </c>
      <c r="D29">
        <v>591</v>
      </c>
      <c r="E29">
        <v>49</v>
      </c>
      <c r="F29">
        <v>92</v>
      </c>
      <c r="G29" t="s">
        <v>16</v>
      </c>
      <c r="H29" t="s">
        <v>66</v>
      </c>
      <c r="I29" t="s">
        <v>86</v>
      </c>
      <c r="J29">
        <v>2304</v>
      </c>
      <c r="K29" t="s">
        <v>46</v>
      </c>
      <c r="L29">
        <f>SUM(Table1[[#This Row],[Primary_Score]],Table1[[#This Row],[Secondary_Score]])</f>
        <v>141</v>
      </c>
    </row>
    <row r="30" spans="1:12" x14ac:dyDescent="0.25">
      <c r="A30">
        <v>29</v>
      </c>
      <c r="B30" t="s">
        <v>32</v>
      </c>
      <c r="C30" t="s">
        <v>42</v>
      </c>
      <c r="D30">
        <v>4585</v>
      </c>
      <c r="E30">
        <v>81</v>
      </c>
      <c r="F30">
        <v>45</v>
      </c>
      <c r="G30" t="s">
        <v>10</v>
      </c>
      <c r="H30" t="s">
        <v>67</v>
      </c>
      <c r="I30" t="s">
        <v>87</v>
      </c>
      <c r="J30">
        <v>3204</v>
      </c>
      <c r="K30" t="s">
        <v>46</v>
      </c>
      <c r="L30">
        <f>SUM(Table1[[#This Row],[Primary_Score]],Table1[[#This Row],[Secondary_Score]])</f>
        <v>126</v>
      </c>
    </row>
    <row r="31" spans="1:12" x14ac:dyDescent="0.25">
      <c r="A31">
        <v>30</v>
      </c>
      <c r="B31" t="s">
        <v>33</v>
      </c>
      <c r="C31" t="s">
        <v>43</v>
      </c>
      <c r="D31">
        <v>2725</v>
      </c>
      <c r="E31">
        <v>79</v>
      </c>
      <c r="F31">
        <v>57</v>
      </c>
      <c r="G31">
        <v>45296</v>
      </c>
      <c r="H31" t="s">
        <v>68</v>
      </c>
      <c r="I31" t="s">
        <v>88</v>
      </c>
      <c r="J31">
        <v>4301</v>
      </c>
      <c r="K31" t="s">
        <v>48</v>
      </c>
      <c r="L31">
        <f>SUM(Table1[[#This Row],[Primary_Score]],Table1[[#This Row],[Secondary_Score]])</f>
        <v>136</v>
      </c>
    </row>
    <row r="32" spans="1:12" x14ac:dyDescent="0.25">
      <c r="A32">
        <v>31</v>
      </c>
      <c r="B32" t="s">
        <v>24</v>
      </c>
      <c r="C32" t="s">
        <v>34</v>
      </c>
      <c r="D32">
        <v>9481</v>
      </c>
      <c r="E32">
        <v>49</v>
      </c>
      <c r="F32">
        <v>22</v>
      </c>
      <c r="G32">
        <v>45309</v>
      </c>
      <c r="H32" t="s">
        <v>59</v>
      </c>
      <c r="I32" t="s">
        <v>79</v>
      </c>
      <c r="J32">
        <v>2888</v>
      </c>
      <c r="K32" t="s">
        <v>47</v>
      </c>
      <c r="L32">
        <f>SUM(Table1[[#This Row],[Primary_Score]],Table1[[#This Row],[Secondary_Score]])</f>
        <v>71</v>
      </c>
    </row>
    <row r="33" spans="1:12" x14ac:dyDescent="0.25">
      <c r="A33">
        <v>32</v>
      </c>
      <c r="B33" t="s">
        <v>25</v>
      </c>
      <c r="C33" t="s">
        <v>35</v>
      </c>
      <c r="D33">
        <v>5415</v>
      </c>
      <c r="E33">
        <v>91</v>
      </c>
      <c r="F33">
        <v>87</v>
      </c>
      <c r="G33">
        <v>45310</v>
      </c>
      <c r="H33" t="s">
        <v>60</v>
      </c>
      <c r="I33" t="s">
        <v>80</v>
      </c>
      <c r="J33">
        <v>4830</v>
      </c>
      <c r="K33" t="s">
        <v>47</v>
      </c>
      <c r="L33">
        <f>SUM(Table1[[#This Row],[Primary_Score]],Table1[[#This Row],[Secondary_Score]])</f>
        <v>178</v>
      </c>
    </row>
    <row r="34" spans="1:12" x14ac:dyDescent="0.25">
      <c r="A34">
        <v>33</v>
      </c>
      <c r="B34" t="s">
        <v>26</v>
      </c>
      <c r="C34" t="s">
        <v>36</v>
      </c>
      <c r="D34">
        <v>4198</v>
      </c>
      <c r="E34">
        <v>52</v>
      </c>
      <c r="F34">
        <v>57</v>
      </c>
      <c r="G34">
        <v>45292</v>
      </c>
      <c r="H34" t="s">
        <v>61</v>
      </c>
      <c r="I34" t="s">
        <v>81</v>
      </c>
      <c r="J34">
        <v>2521</v>
      </c>
      <c r="K34" t="s">
        <v>46</v>
      </c>
      <c r="L34">
        <f>SUM(Table1[[#This Row],[Primary_Score]],Table1[[#This Row],[Secondary_Score]])</f>
        <v>109</v>
      </c>
    </row>
    <row r="35" spans="1:12" x14ac:dyDescent="0.25">
      <c r="A35">
        <v>34</v>
      </c>
      <c r="B35" t="s">
        <v>27</v>
      </c>
      <c r="C35" t="s">
        <v>37</v>
      </c>
      <c r="D35">
        <v>8586</v>
      </c>
      <c r="E35">
        <v>50</v>
      </c>
      <c r="F35">
        <v>86</v>
      </c>
      <c r="G35" t="s">
        <v>19</v>
      </c>
      <c r="H35" t="s">
        <v>62</v>
      </c>
      <c r="I35" t="s">
        <v>82</v>
      </c>
      <c r="J35">
        <v>1226</v>
      </c>
      <c r="K35" t="s">
        <v>48</v>
      </c>
      <c r="L35">
        <f>SUM(Table1[[#This Row],[Primary_Score]],Table1[[#This Row],[Secondary_Score]])</f>
        <v>136</v>
      </c>
    </row>
    <row r="36" spans="1:12" x14ac:dyDescent="0.25">
      <c r="A36">
        <v>35</v>
      </c>
      <c r="B36" t="s">
        <v>28</v>
      </c>
      <c r="C36" t="s">
        <v>38</v>
      </c>
      <c r="D36">
        <v>3140</v>
      </c>
      <c r="E36">
        <v>46</v>
      </c>
      <c r="F36">
        <v>25</v>
      </c>
      <c r="G36" t="s">
        <v>19</v>
      </c>
      <c r="H36" t="s">
        <v>63</v>
      </c>
      <c r="I36" t="s">
        <v>83</v>
      </c>
      <c r="J36">
        <v>1907</v>
      </c>
      <c r="K36" t="s">
        <v>46</v>
      </c>
      <c r="L36">
        <f>SUM(Table1[[#This Row],[Primary_Score]],Table1[[#This Row],[Secondary_Score]])</f>
        <v>71</v>
      </c>
    </row>
    <row r="37" spans="1:12" x14ac:dyDescent="0.25">
      <c r="A37">
        <v>36</v>
      </c>
      <c r="B37" t="s">
        <v>29</v>
      </c>
      <c r="C37" t="s">
        <v>39</v>
      </c>
      <c r="D37">
        <v>2728</v>
      </c>
      <c r="E37">
        <v>88</v>
      </c>
      <c r="F37">
        <v>87</v>
      </c>
      <c r="G37" t="s">
        <v>9</v>
      </c>
      <c r="H37" t="s">
        <v>64</v>
      </c>
      <c r="I37" t="s">
        <v>84</v>
      </c>
      <c r="J37">
        <v>4363</v>
      </c>
      <c r="K37" t="s">
        <v>47</v>
      </c>
      <c r="L37">
        <f>SUM(Table1[[#This Row],[Primary_Score]],Table1[[#This Row],[Secondary_Score]])</f>
        <v>175</v>
      </c>
    </row>
    <row r="38" spans="1:12" x14ac:dyDescent="0.25">
      <c r="A38">
        <v>37</v>
      </c>
      <c r="B38" t="s">
        <v>30</v>
      </c>
      <c r="C38" t="s">
        <v>40</v>
      </c>
      <c r="D38">
        <v>4792</v>
      </c>
      <c r="E38">
        <v>72</v>
      </c>
      <c r="F38">
        <v>72</v>
      </c>
      <c r="G38">
        <v>45318</v>
      </c>
      <c r="H38" t="s">
        <v>65</v>
      </c>
      <c r="I38" t="s">
        <v>85</v>
      </c>
      <c r="J38">
        <v>2208</v>
      </c>
      <c r="K38" t="s">
        <v>48</v>
      </c>
      <c r="L38">
        <f>SUM(Table1[[#This Row],[Primary_Score]],Table1[[#This Row],[Secondary_Score]])</f>
        <v>144</v>
      </c>
    </row>
    <row r="39" spans="1:12" x14ac:dyDescent="0.25">
      <c r="A39">
        <v>38</v>
      </c>
      <c r="B39" t="s">
        <v>31</v>
      </c>
      <c r="C39" t="s">
        <v>41</v>
      </c>
      <c r="D39">
        <v>9396</v>
      </c>
      <c r="E39">
        <v>79</v>
      </c>
      <c r="F39">
        <v>81</v>
      </c>
      <c r="G39" t="s">
        <v>2</v>
      </c>
      <c r="H39" t="s">
        <v>66</v>
      </c>
      <c r="I39" t="s">
        <v>86</v>
      </c>
      <c r="J39">
        <v>1168</v>
      </c>
      <c r="K39" t="s">
        <v>46</v>
      </c>
      <c r="L39">
        <f>SUM(Table1[[#This Row],[Primary_Score]],Table1[[#This Row],[Secondary_Score]])</f>
        <v>160</v>
      </c>
    </row>
    <row r="40" spans="1:12" x14ac:dyDescent="0.25">
      <c r="A40">
        <v>39</v>
      </c>
      <c r="B40" t="s">
        <v>32</v>
      </c>
      <c r="C40" t="s">
        <v>42</v>
      </c>
      <c r="D40">
        <v>1990</v>
      </c>
      <c r="E40">
        <v>33</v>
      </c>
      <c r="F40">
        <v>3</v>
      </c>
      <c r="G40" t="s">
        <v>8</v>
      </c>
      <c r="H40" t="s">
        <v>67</v>
      </c>
      <c r="I40" t="s">
        <v>87</v>
      </c>
      <c r="J40">
        <v>2202</v>
      </c>
      <c r="K40" t="s">
        <v>46</v>
      </c>
      <c r="L40">
        <f>SUM(Table1[[#This Row],[Primary_Score]],Table1[[#This Row],[Secondary_Score]])</f>
        <v>36</v>
      </c>
    </row>
    <row r="41" spans="1:12" x14ac:dyDescent="0.25">
      <c r="A41">
        <v>40</v>
      </c>
      <c r="B41" t="s">
        <v>33</v>
      </c>
      <c r="C41" t="s">
        <v>43</v>
      </c>
      <c r="D41">
        <v>5794</v>
      </c>
      <c r="E41">
        <v>52</v>
      </c>
      <c r="F41">
        <v>74</v>
      </c>
      <c r="G41">
        <v>45294</v>
      </c>
      <c r="H41" t="s">
        <v>68</v>
      </c>
      <c r="I41" t="s">
        <v>88</v>
      </c>
      <c r="J41">
        <v>3260</v>
      </c>
      <c r="K41" t="s">
        <v>47</v>
      </c>
      <c r="L41">
        <f>SUM(Table1[[#This Row],[Primary_Score]],Table1[[#This Row],[Secondary_Score]])</f>
        <v>126</v>
      </c>
    </row>
    <row r="42" spans="1:12" x14ac:dyDescent="0.25">
      <c r="A42">
        <v>41</v>
      </c>
      <c r="B42" t="s">
        <v>24</v>
      </c>
      <c r="C42" t="s">
        <v>34</v>
      </c>
      <c r="D42">
        <v>3472</v>
      </c>
      <c r="E42">
        <v>80</v>
      </c>
      <c r="F42">
        <v>58</v>
      </c>
      <c r="G42" t="s">
        <v>1</v>
      </c>
      <c r="H42" t="s">
        <v>49</v>
      </c>
      <c r="I42" t="s">
        <v>89</v>
      </c>
      <c r="J42">
        <v>716</v>
      </c>
      <c r="K42" t="s">
        <v>47</v>
      </c>
      <c r="L42">
        <f>SUM(Table1[[#This Row],[Primary_Score]],Table1[[#This Row],[Secondary_Score]])</f>
        <v>138</v>
      </c>
    </row>
    <row r="43" spans="1:12" x14ac:dyDescent="0.25">
      <c r="A43">
        <v>42</v>
      </c>
      <c r="B43" t="s">
        <v>25</v>
      </c>
      <c r="C43" t="s">
        <v>35</v>
      </c>
      <c r="D43">
        <v>7040</v>
      </c>
      <c r="E43">
        <v>57</v>
      </c>
      <c r="F43">
        <v>74</v>
      </c>
      <c r="G43">
        <v>45297</v>
      </c>
      <c r="H43" t="s">
        <v>50</v>
      </c>
      <c r="I43" t="s">
        <v>90</v>
      </c>
      <c r="J43">
        <v>1182</v>
      </c>
      <c r="K43" t="s">
        <v>48</v>
      </c>
      <c r="L43">
        <f>SUM(Table1[[#This Row],[Primary_Score]],Table1[[#This Row],[Secondary_Score]])</f>
        <v>131</v>
      </c>
    </row>
    <row r="44" spans="1:12" x14ac:dyDescent="0.25">
      <c r="A44">
        <v>43</v>
      </c>
      <c r="B44" t="s">
        <v>26</v>
      </c>
      <c r="C44" t="s">
        <v>36</v>
      </c>
      <c r="D44">
        <v>7334</v>
      </c>
      <c r="E44">
        <v>79</v>
      </c>
      <c r="F44">
        <v>77</v>
      </c>
      <c r="G44">
        <v>45292</v>
      </c>
      <c r="H44" t="s">
        <v>51</v>
      </c>
      <c r="I44" t="s">
        <v>91</v>
      </c>
      <c r="J44">
        <v>3890</v>
      </c>
      <c r="K44" t="s">
        <v>46</v>
      </c>
      <c r="L44">
        <f>SUM(Table1[[#This Row],[Primary_Score]],Table1[[#This Row],[Secondary_Score]])</f>
        <v>156</v>
      </c>
    </row>
    <row r="45" spans="1:12" x14ac:dyDescent="0.25">
      <c r="A45">
        <v>44</v>
      </c>
      <c r="B45" t="s">
        <v>27</v>
      </c>
      <c r="C45" t="s">
        <v>37</v>
      </c>
      <c r="D45">
        <v>8875</v>
      </c>
      <c r="E45">
        <v>44</v>
      </c>
      <c r="F45">
        <v>69</v>
      </c>
      <c r="G45">
        <v>45319</v>
      </c>
      <c r="H45" t="s">
        <v>52</v>
      </c>
      <c r="I45" t="s">
        <v>92</v>
      </c>
      <c r="J45">
        <v>2335</v>
      </c>
      <c r="K45" t="s">
        <v>48</v>
      </c>
      <c r="L45">
        <f>SUM(Table1[[#This Row],[Primary_Score]],Table1[[#This Row],[Secondary_Score]])</f>
        <v>113</v>
      </c>
    </row>
    <row r="46" spans="1:12" x14ac:dyDescent="0.25">
      <c r="A46">
        <v>45</v>
      </c>
      <c r="B46" t="s">
        <v>28</v>
      </c>
      <c r="C46" t="s">
        <v>38</v>
      </c>
      <c r="D46">
        <v>9563</v>
      </c>
      <c r="E46">
        <v>90</v>
      </c>
      <c r="F46">
        <v>59</v>
      </c>
      <c r="G46" t="s">
        <v>17</v>
      </c>
      <c r="H46" t="s">
        <v>53</v>
      </c>
      <c r="I46" t="s">
        <v>93</v>
      </c>
      <c r="J46">
        <v>2486</v>
      </c>
      <c r="K46" t="s">
        <v>47</v>
      </c>
      <c r="L46">
        <f>SUM(Table1[[#This Row],[Primary_Score]],Table1[[#This Row],[Secondary_Score]])</f>
        <v>149</v>
      </c>
    </row>
    <row r="47" spans="1:12" x14ac:dyDescent="0.25">
      <c r="A47">
        <v>46</v>
      </c>
      <c r="B47" t="s">
        <v>29</v>
      </c>
      <c r="C47" t="s">
        <v>39</v>
      </c>
      <c r="D47">
        <v>8444</v>
      </c>
      <c r="E47">
        <v>9</v>
      </c>
      <c r="F47">
        <v>31</v>
      </c>
      <c r="G47" t="s">
        <v>21</v>
      </c>
      <c r="H47" t="s">
        <v>54</v>
      </c>
      <c r="I47" t="s">
        <v>94</v>
      </c>
      <c r="J47">
        <v>4783</v>
      </c>
      <c r="K47" t="s">
        <v>46</v>
      </c>
      <c r="L47">
        <f>SUM(Table1[[#This Row],[Primary_Score]],Table1[[#This Row],[Secondary_Score]])</f>
        <v>40</v>
      </c>
    </row>
    <row r="48" spans="1:12" x14ac:dyDescent="0.25">
      <c r="A48">
        <v>47</v>
      </c>
      <c r="B48" t="s">
        <v>30</v>
      </c>
      <c r="C48" t="s">
        <v>40</v>
      </c>
      <c r="D48">
        <v>3789</v>
      </c>
      <c r="E48">
        <v>72</v>
      </c>
      <c r="F48">
        <v>45</v>
      </c>
      <c r="G48" t="s">
        <v>8</v>
      </c>
      <c r="H48" t="s">
        <v>55</v>
      </c>
      <c r="I48" t="s">
        <v>95</v>
      </c>
      <c r="J48">
        <v>917</v>
      </c>
      <c r="K48" t="s">
        <v>46</v>
      </c>
      <c r="L48">
        <f>SUM(Table1[[#This Row],[Primary_Score]],Table1[[#This Row],[Secondary_Score]])</f>
        <v>117</v>
      </c>
    </row>
    <row r="49" spans="1:12" x14ac:dyDescent="0.25">
      <c r="A49">
        <v>48</v>
      </c>
      <c r="B49" t="s">
        <v>31</v>
      </c>
      <c r="C49" t="s">
        <v>41</v>
      </c>
      <c r="D49">
        <v>8281</v>
      </c>
      <c r="E49">
        <v>44</v>
      </c>
      <c r="F49">
        <v>37</v>
      </c>
      <c r="G49" t="s">
        <v>3</v>
      </c>
      <c r="H49" t="s">
        <v>56</v>
      </c>
      <c r="I49" t="s">
        <v>96</v>
      </c>
      <c r="J49">
        <v>4365</v>
      </c>
      <c r="K49" t="s">
        <v>47</v>
      </c>
      <c r="L49">
        <f>SUM(Table1[[#This Row],[Primary_Score]],Table1[[#This Row],[Secondary_Score]])</f>
        <v>81</v>
      </c>
    </row>
    <row r="50" spans="1:12" x14ac:dyDescent="0.25">
      <c r="A50">
        <v>49</v>
      </c>
      <c r="B50" t="s">
        <v>32</v>
      </c>
      <c r="C50" t="s">
        <v>42</v>
      </c>
      <c r="D50">
        <v>6552</v>
      </c>
      <c r="E50">
        <v>42</v>
      </c>
      <c r="F50">
        <v>98</v>
      </c>
      <c r="G50" t="s">
        <v>2</v>
      </c>
      <c r="H50" t="s">
        <v>57</v>
      </c>
      <c r="I50" t="s">
        <v>97</v>
      </c>
      <c r="J50">
        <v>4120</v>
      </c>
      <c r="K50" t="s">
        <v>48</v>
      </c>
      <c r="L50">
        <f>SUM(Table1[[#This Row],[Primary_Score]],Table1[[#This Row],[Secondary_Score]])</f>
        <v>140</v>
      </c>
    </row>
    <row r="51" spans="1:12" x14ac:dyDescent="0.25">
      <c r="A51">
        <v>50</v>
      </c>
      <c r="B51" t="s">
        <v>33</v>
      </c>
      <c r="C51" t="s">
        <v>43</v>
      </c>
      <c r="D51">
        <v>5428</v>
      </c>
      <c r="E51">
        <v>84</v>
      </c>
      <c r="F51">
        <v>15</v>
      </c>
      <c r="G51" t="s">
        <v>19</v>
      </c>
      <c r="H51" t="s">
        <v>58</v>
      </c>
      <c r="I51" t="s">
        <v>98</v>
      </c>
      <c r="J51">
        <v>4820</v>
      </c>
      <c r="K51" t="s">
        <v>47</v>
      </c>
      <c r="L51">
        <f>SUM(Table1[[#This Row],[Primary_Score]],Table1[[#This Row],[Secondary_Score]])</f>
        <v>99</v>
      </c>
    </row>
    <row r="52" spans="1:12" x14ac:dyDescent="0.25">
      <c r="A52">
        <v>51</v>
      </c>
      <c r="B52" t="s">
        <v>24</v>
      </c>
      <c r="C52" t="s">
        <v>34</v>
      </c>
      <c r="D52">
        <v>9667</v>
      </c>
      <c r="E52">
        <v>91</v>
      </c>
      <c r="F52">
        <v>20</v>
      </c>
      <c r="G52" t="s">
        <v>22</v>
      </c>
      <c r="H52" t="s">
        <v>59</v>
      </c>
      <c r="I52" t="s">
        <v>89</v>
      </c>
      <c r="J52">
        <v>1310</v>
      </c>
      <c r="K52" t="s">
        <v>46</v>
      </c>
      <c r="L52">
        <f>SUM(Table1[[#This Row],[Primary_Score]],Table1[[#This Row],[Secondary_Score]])</f>
        <v>111</v>
      </c>
    </row>
    <row r="53" spans="1:12" x14ac:dyDescent="0.25">
      <c r="A53">
        <v>52</v>
      </c>
      <c r="B53" t="s">
        <v>25</v>
      </c>
      <c r="C53" t="s">
        <v>35</v>
      </c>
      <c r="D53">
        <v>3551</v>
      </c>
      <c r="E53">
        <v>10</v>
      </c>
      <c r="F53">
        <v>95</v>
      </c>
      <c r="G53" t="s">
        <v>15</v>
      </c>
      <c r="H53" t="s">
        <v>60</v>
      </c>
      <c r="I53" t="s">
        <v>90</v>
      </c>
      <c r="J53">
        <v>1788</v>
      </c>
      <c r="K53" t="s">
        <v>48</v>
      </c>
      <c r="L53">
        <f>SUM(Table1[[#This Row],[Primary_Score]],Table1[[#This Row],[Secondary_Score]])</f>
        <v>105</v>
      </c>
    </row>
    <row r="54" spans="1:12" x14ac:dyDescent="0.25">
      <c r="A54">
        <v>53</v>
      </c>
      <c r="B54" t="s">
        <v>26</v>
      </c>
      <c r="C54" t="s">
        <v>36</v>
      </c>
      <c r="D54">
        <v>5558</v>
      </c>
      <c r="E54">
        <v>98</v>
      </c>
      <c r="F54">
        <v>15</v>
      </c>
      <c r="G54">
        <v>45305</v>
      </c>
      <c r="H54" t="s">
        <v>61</v>
      </c>
      <c r="I54" t="s">
        <v>91</v>
      </c>
      <c r="J54">
        <v>1767</v>
      </c>
      <c r="K54" t="s">
        <v>46</v>
      </c>
      <c r="L54">
        <f>SUM(Table1[[#This Row],[Primary_Score]],Table1[[#This Row],[Secondary_Score]])</f>
        <v>113</v>
      </c>
    </row>
    <row r="55" spans="1:12" x14ac:dyDescent="0.25">
      <c r="A55">
        <v>54</v>
      </c>
      <c r="B55" t="s">
        <v>27</v>
      </c>
      <c r="C55" t="s">
        <v>37</v>
      </c>
      <c r="D55">
        <v>8200</v>
      </c>
      <c r="E55">
        <v>2</v>
      </c>
      <c r="F55">
        <v>44</v>
      </c>
      <c r="G55">
        <v>45307</v>
      </c>
      <c r="H55" t="s">
        <v>62</v>
      </c>
      <c r="I55" t="s">
        <v>92</v>
      </c>
      <c r="J55">
        <v>2214</v>
      </c>
      <c r="K55" t="s">
        <v>47</v>
      </c>
      <c r="L55">
        <f>SUM(Table1[[#This Row],[Primary_Score]],Table1[[#This Row],[Secondary_Score]])</f>
        <v>46</v>
      </c>
    </row>
    <row r="56" spans="1:12" x14ac:dyDescent="0.25">
      <c r="A56">
        <v>55</v>
      </c>
      <c r="B56" t="s">
        <v>28</v>
      </c>
      <c r="C56" t="s">
        <v>38</v>
      </c>
      <c r="D56">
        <v>9084</v>
      </c>
      <c r="E56">
        <v>96</v>
      </c>
      <c r="F56">
        <v>20</v>
      </c>
      <c r="G56">
        <v>45292</v>
      </c>
      <c r="H56" t="s">
        <v>63</v>
      </c>
      <c r="I56" t="s">
        <v>93</v>
      </c>
      <c r="J56">
        <v>3654</v>
      </c>
      <c r="K56" t="s">
        <v>47</v>
      </c>
      <c r="L56">
        <f>SUM(Table1[[#This Row],[Primary_Score]],Table1[[#This Row],[Secondary_Score]])</f>
        <v>116</v>
      </c>
    </row>
    <row r="57" spans="1:12" x14ac:dyDescent="0.25">
      <c r="A57">
        <v>56</v>
      </c>
      <c r="B57" t="s">
        <v>29</v>
      </c>
      <c r="C57" t="s">
        <v>39</v>
      </c>
      <c r="D57">
        <v>5700</v>
      </c>
      <c r="E57">
        <v>57</v>
      </c>
      <c r="F57">
        <v>52</v>
      </c>
      <c r="G57">
        <v>45301</v>
      </c>
      <c r="H57" t="s">
        <v>64</v>
      </c>
      <c r="I57" t="s">
        <v>94</v>
      </c>
      <c r="J57">
        <v>4904</v>
      </c>
      <c r="K57" t="s">
        <v>46</v>
      </c>
      <c r="L57">
        <f>SUM(Table1[[#This Row],[Primary_Score]],Table1[[#This Row],[Secondary_Score]])</f>
        <v>109</v>
      </c>
    </row>
    <row r="58" spans="1:12" x14ac:dyDescent="0.25">
      <c r="A58">
        <v>57</v>
      </c>
      <c r="B58" t="s">
        <v>30</v>
      </c>
      <c r="C58" t="s">
        <v>40</v>
      </c>
      <c r="D58">
        <v>151</v>
      </c>
      <c r="E58">
        <v>42</v>
      </c>
      <c r="F58">
        <v>49</v>
      </c>
      <c r="G58">
        <v>45314</v>
      </c>
      <c r="H58" t="s">
        <v>65</v>
      </c>
      <c r="I58" t="s">
        <v>95</v>
      </c>
      <c r="J58">
        <v>3201</v>
      </c>
      <c r="K58" t="s">
        <v>48</v>
      </c>
      <c r="L58">
        <f>SUM(Table1[[#This Row],[Primary_Score]],Table1[[#This Row],[Secondary_Score]])</f>
        <v>91</v>
      </c>
    </row>
    <row r="59" spans="1:12" x14ac:dyDescent="0.25">
      <c r="A59">
        <v>58</v>
      </c>
      <c r="B59" t="s">
        <v>31</v>
      </c>
      <c r="C59" t="s">
        <v>41</v>
      </c>
      <c r="D59">
        <v>8455</v>
      </c>
      <c r="E59">
        <v>74</v>
      </c>
      <c r="F59">
        <v>14</v>
      </c>
      <c r="G59" t="s">
        <v>19</v>
      </c>
      <c r="H59" t="s">
        <v>66</v>
      </c>
      <c r="I59" t="s">
        <v>96</v>
      </c>
      <c r="J59">
        <v>1831</v>
      </c>
      <c r="K59" t="s">
        <v>46</v>
      </c>
      <c r="L59">
        <f>SUM(Table1[[#This Row],[Primary_Score]],Table1[[#This Row],[Secondary_Score]])</f>
        <v>88</v>
      </c>
    </row>
    <row r="60" spans="1:12" x14ac:dyDescent="0.25">
      <c r="A60">
        <v>59</v>
      </c>
      <c r="B60" t="s">
        <v>32</v>
      </c>
      <c r="C60" t="s">
        <v>42</v>
      </c>
      <c r="D60">
        <v>1048</v>
      </c>
      <c r="E60">
        <v>92</v>
      </c>
      <c r="F60">
        <v>92</v>
      </c>
      <c r="G60" t="s">
        <v>7</v>
      </c>
      <c r="H60" t="s">
        <v>67</v>
      </c>
      <c r="I60" t="s">
        <v>97</v>
      </c>
      <c r="J60">
        <v>3411</v>
      </c>
      <c r="K60" t="s">
        <v>46</v>
      </c>
      <c r="L60">
        <f>SUM(Table1[[#This Row],[Primary_Score]],Table1[[#This Row],[Secondary_Score]])</f>
        <v>184</v>
      </c>
    </row>
    <row r="61" spans="1:12" x14ac:dyDescent="0.25">
      <c r="A61">
        <v>60</v>
      </c>
      <c r="B61" t="s">
        <v>33</v>
      </c>
      <c r="C61" t="s">
        <v>43</v>
      </c>
      <c r="D61">
        <v>1378</v>
      </c>
      <c r="E61">
        <v>88</v>
      </c>
      <c r="F61">
        <v>4</v>
      </c>
      <c r="G61" t="s">
        <v>7</v>
      </c>
      <c r="H61" t="s">
        <v>68</v>
      </c>
      <c r="I61" t="s">
        <v>98</v>
      </c>
      <c r="J61">
        <v>1383</v>
      </c>
      <c r="K61" t="s">
        <v>47</v>
      </c>
      <c r="L61">
        <f>SUM(Table1[[#This Row],[Primary_Score]],Table1[[#This Row],[Secondary_Score]])</f>
        <v>92</v>
      </c>
    </row>
    <row r="62" spans="1:12" x14ac:dyDescent="0.25">
      <c r="A62">
        <v>61</v>
      </c>
      <c r="B62" t="s">
        <v>24</v>
      </c>
      <c r="C62" t="s">
        <v>34</v>
      </c>
      <c r="D62">
        <v>1791</v>
      </c>
      <c r="E62">
        <v>78</v>
      </c>
      <c r="F62">
        <v>16</v>
      </c>
      <c r="G62" t="s">
        <v>21</v>
      </c>
      <c r="H62" t="s">
        <v>49</v>
      </c>
      <c r="I62" t="s">
        <v>99</v>
      </c>
      <c r="J62">
        <v>3548</v>
      </c>
      <c r="K62" t="s">
        <v>48</v>
      </c>
      <c r="L62">
        <f>SUM(Table1[[#This Row],[Primary_Score]],Table1[[#This Row],[Secondary_Score]])</f>
        <v>94</v>
      </c>
    </row>
    <row r="63" spans="1:12" x14ac:dyDescent="0.25">
      <c r="A63">
        <v>62</v>
      </c>
      <c r="B63" t="s">
        <v>25</v>
      </c>
      <c r="C63" t="s">
        <v>35</v>
      </c>
      <c r="D63">
        <v>886</v>
      </c>
      <c r="E63">
        <v>60</v>
      </c>
      <c r="F63">
        <v>65</v>
      </c>
      <c r="G63" t="s">
        <v>20</v>
      </c>
      <c r="H63" t="s">
        <v>50</v>
      </c>
      <c r="I63" t="s">
        <v>100</v>
      </c>
      <c r="J63">
        <v>2442</v>
      </c>
      <c r="K63" t="s">
        <v>47</v>
      </c>
      <c r="L63">
        <f>SUM(Table1[[#This Row],[Primary_Score]],Table1[[#This Row],[Secondary_Score]])</f>
        <v>125</v>
      </c>
    </row>
    <row r="64" spans="1:12" x14ac:dyDescent="0.25">
      <c r="A64">
        <v>63</v>
      </c>
      <c r="B64" t="s">
        <v>26</v>
      </c>
      <c r="C64" t="s">
        <v>36</v>
      </c>
      <c r="D64">
        <v>4937</v>
      </c>
      <c r="E64">
        <v>33</v>
      </c>
      <c r="F64">
        <v>86</v>
      </c>
      <c r="G64">
        <v>45297</v>
      </c>
      <c r="H64" t="s">
        <v>51</v>
      </c>
      <c r="I64" t="s">
        <v>101</v>
      </c>
      <c r="J64">
        <v>3266</v>
      </c>
      <c r="K64" t="s">
        <v>46</v>
      </c>
      <c r="L64">
        <f>SUM(Table1[[#This Row],[Primary_Score]],Table1[[#This Row],[Secondary_Score]])</f>
        <v>119</v>
      </c>
    </row>
    <row r="65" spans="1:12" x14ac:dyDescent="0.25">
      <c r="A65">
        <v>64</v>
      </c>
      <c r="B65" t="s">
        <v>27</v>
      </c>
      <c r="C65" t="s">
        <v>37</v>
      </c>
      <c r="D65">
        <v>2439</v>
      </c>
      <c r="E65">
        <v>7</v>
      </c>
      <c r="F65">
        <v>17</v>
      </c>
      <c r="G65">
        <v>45295</v>
      </c>
      <c r="H65" t="s">
        <v>52</v>
      </c>
      <c r="I65" t="s">
        <v>102</v>
      </c>
      <c r="J65">
        <v>2079</v>
      </c>
      <c r="K65" t="s">
        <v>46</v>
      </c>
      <c r="L65">
        <f>SUM(Table1[[#This Row],[Primary_Score]],Table1[[#This Row],[Secondary_Score]])</f>
        <v>24</v>
      </c>
    </row>
    <row r="66" spans="1:12" x14ac:dyDescent="0.25">
      <c r="A66">
        <v>65</v>
      </c>
      <c r="B66" t="s">
        <v>28</v>
      </c>
      <c r="C66" t="s">
        <v>38</v>
      </c>
      <c r="D66">
        <v>5756</v>
      </c>
      <c r="E66">
        <v>39</v>
      </c>
      <c r="F66">
        <v>67</v>
      </c>
      <c r="G66">
        <v>45314</v>
      </c>
      <c r="H66" t="s">
        <v>53</v>
      </c>
      <c r="I66" t="s">
        <v>103</v>
      </c>
      <c r="J66">
        <v>2549</v>
      </c>
      <c r="K66" t="s">
        <v>48</v>
      </c>
      <c r="L66">
        <f>SUM(Table1[[#This Row],[Primary_Score]],Table1[[#This Row],[Secondary_Score]])</f>
        <v>106</v>
      </c>
    </row>
    <row r="67" spans="1:12" x14ac:dyDescent="0.25">
      <c r="A67">
        <v>66</v>
      </c>
      <c r="B67" t="s">
        <v>29</v>
      </c>
      <c r="C67" t="s">
        <v>39</v>
      </c>
      <c r="D67">
        <v>8764</v>
      </c>
      <c r="E67">
        <v>16</v>
      </c>
      <c r="F67">
        <v>30</v>
      </c>
      <c r="G67">
        <v>45317</v>
      </c>
      <c r="H67" t="s">
        <v>54</v>
      </c>
      <c r="I67" t="s">
        <v>104</v>
      </c>
      <c r="J67">
        <v>2647</v>
      </c>
      <c r="K67" t="s">
        <v>47</v>
      </c>
      <c r="L67">
        <f>SUM(Table1[[#This Row],[Primary_Score]],Table1[[#This Row],[Secondary_Score]])</f>
        <v>46</v>
      </c>
    </row>
    <row r="68" spans="1:12" x14ac:dyDescent="0.25">
      <c r="A68">
        <v>67</v>
      </c>
      <c r="B68" t="s">
        <v>30</v>
      </c>
      <c r="C68" t="s">
        <v>40</v>
      </c>
      <c r="D68">
        <v>4185</v>
      </c>
      <c r="E68">
        <v>28</v>
      </c>
      <c r="F68">
        <v>89</v>
      </c>
      <c r="G68">
        <v>45307</v>
      </c>
      <c r="H68" t="s">
        <v>55</v>
      </c>
      <c r="I68" t="s">
        <v>105</v>
      </c>
      <c r="J68">
        <v>2978</v>
      </c>
      <c r="K68" t="s">
        <v>47</v>
      </c>
      <c r="L68">
        <f>SUM(Table1[[#This Row],[Primary_Score]],Table1[[#This Row],[Secondary_Score]])</f>
        <v>117</v>
      </c>
    </row>
    <row r="69" spans="1:12" x14ac:dyDescent="0.25">
      <c r="A69">
        <v>68</v>
      </c>
      <c r="B69" t="s">
        <v>31</v>
      </c>
      <c r="C69" t="s">
        <v>41</v>
      </c>
      <c r="D69">
        <v>4490</v>
      </c>
      <c r="E69">
        <v>41</v>
      </c>
      <c r="F69">
        <v>72</v>
      </c>
      <c r="G69" t="s">
        <v>21</v>
      </c>
      <c r="H69" t="s">
        <v>56</v>
      </c>
      <c r="I69" t="s">
        <v>106</v>
      </c>
      <c r="J69">
        <v>1838</v>
      </c>
      <c r="K69" t="s">
        <v>46</v>
      </c>
      <c r="L69">
        <f>SUM(Table1[[#This Row],[Primary_Score]],Table1[[#This Row],[Secondary_Score]])</f>
        <v>113</v>
      </c>
    </row>
    <row r="70" spans="1:12" x14ac:dyDescent="0.25">
      <c r="A70">
        <v>69</v>
      </c>
      <c r="B70" t="s">
        <v>32</v>
      </c>
      <c r="C70" t="s">
        <v>42</v>
      </c>
      <c r="D70">
        <v>6711</v>
      </c>
      <c r="E70">
        <v>14</v>
      </c>
      <c r="F70">
        <v>13</v>
      </c>
      <c r="G70" t="s">
        <v>5</v>
      </c>
      <c r="H70" t="s">
        <v>57</v>
      </c>
      <c r="I70" t="s">
        <v>107</v>
      </c>
      <c r="J70">
        <v>4092</v>
      </c>
      <c r="K70" t="s">
        <v>48</v>
      </c>
      <c r="L70">
        <f>SUM(Table1[[#This Row],[Primary_Score]],Table1[[#This Row],[Secondary_Score]])</f>
        <v>27</v>
      </c>
    </row>
    <row r="71" spans="1:12" x14ac:dyDescent="0.25">
      <c r="A71">
        <v>70</v>
      </c>
      <c r="B71" t="s">
        <v>33</v>
      </c>
      <c r="C71" t="s">
        <v>43</v>
      </c>
      <c r="D71">
        <v>2468</v>
      </c>
      <c r="E71">
        <v>88</v>
      </c>
      <c r="F71">
        <v>35</v>
      </c>
      <c r="G71" t="s">
        <v>8</v>
      </c>
      <c r="H71" t="s">
        <v>58</v>
      </c>
      <c r="I71" t="s">
        <v>108</v>
      </c>
      <c r="J71">
        <v>2237</v>
      </c>
      <c r="K71" t="s">
        <v>46</v>
      </c>
      <c r="L71">
        <f>SUM(Table1[[#This Row],[Primary_Score]],Table1[[#This Row],[Secondary_Score]])</f>
        <v>123</v>
      </c>
    </row>
    <row r="72" spans="1:12" x14ac:dyDescent="0.25">
      <c r="A72">
        <v>71</v>
      </c>
      <c r="B72" t="s">
        <v>24</v>
      </c>
      <c r="C72" t="s">
        <v>34</v>
      </c>
      <c r="D72">
        <v>503</v>
      </c>
      <c r="E72">
        <v>64</v>
      </c>
      <c r="F72">
        <v>57</v>
      </c>
      <c r="G72" t="s">
        <v>12</v>
      </c>
      <c r="H72" t="s">
        <v>59</v>
      </c>
      <c r="I72" t="s">
        <v>99</v>
      </c>
      <c r="J72">
        <v>2931</v>
      </c>
      <c r="K72" t="s">
        <v>47</v>
      </c>
      <c r="L72">
        <f>SUM(Table1[[#This Row],[Primary_Score]],Table1[[#This Row],[Secondary_Score]])</f>
        <v>121</v>
      </c>
    </row>
    <row r="73" spans="1:12" x14ac:dyDescent="0.25">
      <c r="A73">
        <v>72</v>
      </c>
      <c r="B73" t="s">
        <v>25</v>
      </c>
      <c r="C73" t="s">
        <v>35</v>
      </c>
      <c r="D73">
        <v>8843</v>
      </c>
      <c r="E73">
        <v>48</v>
      </c>
      <c r="F73">
        <v>72</v>
      </c>
      <c r="G73" t="s">
        <v>23</v>
      </c>
      <c r="H73" t="s">
        <v>60</v>
      </c>
      <c r="I73" t="s">
        <v>100</v>
      </c>
      <c r="J73">
        <v>1474</v>
      </c>
      <c r="K73" t="s">
        <v>46</v>
      </c>
      <c r="L73">
        <f>SUM(Table1[[#This Row],[Primary_Score]],Table1[[#This Row],[Secondary_Score]])</f>
        <v>120</v>
      </c>
    </row>
    <row r="74" spans="1:12" x14ac:dyDescent="0.25">
      <c r="A74">
        <v>73</v>
      </c>
      <c r="B74" t="s">
        <v>26</v>
      </c>
      <c r="C74" t="s">
        <v>36</v>
      </c>
      <c r="D74">
        <v>6793</v>
      </c>
      <c r="E74">
        <v>48</v>
      </c>
      <c r="F74">
        <v>72</v>
      </c>
      <c r="G74" t="s">
        <v>5</v>
      </c>
      <c r="H74" t="s">
        <v>61</v>
      </c>
      <c r="I74" t="s">
        <v>101</v>
      </c>
      <c r="J74">
        <v>3103</v>
      </c>
      <c r="K74" t="s">
        <v>48</v>
      </c>
      <c r="L74">
        <f>SUM(Table1[[#This Row],[Primary_Score]],Table1[[#This Row],[Secondary_Score]])</f>
        <v>120</v>
      </c>
    </row>
    <row r="75" spans="1:12" x14ac:dyDescent="0.25">
      <c r="A75">
        <v>74</v>
      </c>
      <c r="B75" t="s">
        <v>27</v>
      </c>
      <c r="C75" t="s">
        <v>37</v>
      </c>
      <c r="D75">
        <v>6202</v>
      </c>
      <c r="E75">
        <v>51</v>
      </c>
      <c r="F75">
        <v>85</v>
      </c>
      <c r="G75" t="s">
        <v>3</v>
      </c>
      <c r="H75" t="s">
        <v>62</v>
      </c>
      <c r="I75" t="s">
        <v>102</v>
      </c>
      <c r="J75">
        <v>801</v>
      </c>
      <c r="K75" t="s">
        <v>47</v>
      </c>
      <c r="L75">
        <f>SUM(Table1[[#This Row],[Primary_Score]],Table1[[#This Row],[Secondary_Score]])</f>
        <v>136</v>
      </c>
    </row>
    <row r="76" spans="1:12" x14ac:dyDescent="0.25">
      <c r="A76">
        <v>75</v>
      </c>
      <c r="B76" t="s">
        <v>28</v>
      </c>
      <c r="C76" t="s">
        <v>38</v>
      </c>
      <c r="D76">
        <v>4793</v>
      </c>
      <c r="E76">
        <v>39</v>
      </c>
      <c r="F76">
        <v>43</v>
      </c>
      <c r="G76">
        <v>45312</v>
      </c>
      <c r="H76" t="s">
        <v>63</v>
      </c>
      <c r="I76" t="s">
        <v>103</v>
      </c>
      <c r="J76">
        <v>4879</v>
      </c>
      <c r="K76" t="s">
        <v>46</v>
      </c>
      <c r="L76">
        <f>SUM(Table1[[#This Row],[Primary_Score]],Table1[[#This Row],[Secondary_Score]])</f>
        <v>82</v>
      </c>
    </row>
    <row r="77" spans="1:12" x14ac:dyDescent="0.25">
      <c r="A77">
        <v>76</v>
      </c>
      <c r="B77" t="s">
        <v>29</v>
      </c>
      <c r="C77" t="s">
        <v>39</v>
      </c>
      <c r="D77">
        <v>1284</v>
      </c>
      <c r="E77">
        <v>3</v>
      </c>
      <c r="F77">
        <v>98</v>
      </c>
      <c r="G77">
        <v>45302</v>
      </c>
      <c r="H77" t="s">
        <v>64</v>
      </c>
      <c r="I77" t="s">
        <v>104</v>
      </c>
      <c r="J77">
        <v>3526</v>
      </c>
      <c r="K77" t="s">
        <v>46</v>
      </c>
      <c r="L77">
        <f>SUM(Table1[[#This Row],[Primary_Score]],Table1[[#This Row],[Secondary_Score]])</f>
        <v>101</v>
      </c>
    </row>
    <row r="78" spans="1:12" x14ac:dyDescent="0.25">
      <c r="A78">
        <v>77</v>
      </c>
      <c r="B78" t="s">
        <v>30</v>
      </c>
      <c r="C78" t="s">
        <v>40</v>
      </c>
      <c r="D78">
        <v>9760</v>
      </c>
      <c r="E78">
        <v>8</v>
      </c>
      <c r="F78">
        <v>23</v>
      </c>
      <c r="G78">
        <v>45310</v>
      </c>
      <c r="H78" t="s">
        <v>65</v>
      </c>
      <c r="I78" t="s">
        <v>105</v>
      </c>
      <c r="J78">
        <v>4104</v>
      </c>
      <c r="K78" t="s">
        <v>47</v>
      </c>
      <c r="L78">
        <f>SUM(Table1[[#This Row],[Primary_Score]],Table1[[#This Row],[Secondary_Score]])</f>
        <v>31</v>
      </c>
    </row>
    <row r="79" spans="1:12" x14ac:dyDescent="0.25">
      <c r="A79">
        <v>78</v>
      </c>
      <c r="B79" t="s">
        <v>31</v>
      </c>
      <c r="C79" t="s">
        <v>41</v>
      </c>
      <c r="D79">
        <v>8751</v>
      </c>
      <c r="E79">
        <v>82</v>
      </c>
      <c r="F79">
        <v>60</v>
      </c>
      <c r="G79">
        <v>45312</v>
      </c>
      <c r="H79" t="s">
        <v>66</v>
      </c>
      <c r="I79" t="s">
        <v>106</v>
      </c>
      <c r="J79">
        <v>1106</v>
      </c>
      <c r="K79" t="s">
        <v>48</v>
      </c>
      <c r="L79">
        <f>SUM(Table1[[#This Row],[Primary_Score]],Table1[[#This Row],[Secondary_Score]])</f>
        <v>142</v>
      </c>
    </row>
    <row r="80" spans="1:12" x14ac:dyDescent="0.25">
      <c r="A80">
        <v>79</v>
      </c>
      <c r="B80" t="s">
        <v>32</v>
      </c>
      <c r="C80" t="s">
        <v>42</v>
      </c>
      <c r="D80">
        <v>6265</v>
      </c>
      <c r="E80">
        <v>38</v>
      </c>
      <c r="F80">
        <v>50</v>
      </c>
      <c r="G80" t="s">
        <v>17</v>
      </c>
      <c r="H80" t="s">
        <v>67</v>
      </c>
      <c r="I80" t="s">
        <v>107</v>
      </c>
      <c r="J80">
        <v>2689</v>
      </c>
      <c r="K80" t="s">
        <v>46</v>
      </c>
      <c r="L80">
        <f>SUM(Table1[[#This Row],[Primary_Score]],Table1[[#This Row],[Secondary_Score]])</f>
        <v>88</v>
      </c>
    </row>
    <row r="81" spans="1:12" x14ac:dyDescent="0.25">
      <c r="A81">
        <v>80</v>
      </c>
      <c r="B81" t="s">
        <v>33</v>
      </c>
      <c r="C81" t="s">
        <v>43</v>
      </c>
      <c r="D81">
        <v>3139</v>
      </c>
      <c r="E81">
        <v>76</v>
      </c>
      <c r="F81">
        <v>37</v>
      </c>
      <c r="G81" t="s">
        <v>8</v>
      </c>
      <c r="H81" t="s">
        <v>68</v>
      </c>
      <c r="I81" t="s">
        <v>108</v>
      </c>
      <c r="J81">
        <v>4500</v>
      </c>
      <c r="K81" t="s">
        <v>47</v>
      </c>
      <c r="L81">
        <f>SUM(Table1[[#This Row],[Primary_Score]],Table1[[#This Row],[Secondary_Score]])</f>
        <v>113</v>
      </c>
    </row>
  </sheetData>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C6B4E-630E-4D1C-8598-9377B42753A3}">
  <dimension ref="A1"/>
  <sheetViews>
    <sheetView showGridLines="0" showRowColHeaders="0" tabSelected="1" workbookViewId="0"/>
  </sheetViews>
  <sheetFormatPr defaultRowHeight="15" x14ac:dyDescent="0.25"/>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Major sports</vt:lpstr>
      <vt:lpstr>Minor sports</vt:lpstr>
      <vt:lpstr>Countery vs Target</vt:lpstr>
      <vt:lpstr>Region vs Sum_player</vt:lpstr>
      <vt:lpstr>KPI</vt:lpstr>
      <vt:lpstr>sports data</vt:lpstr>
      <vt:lpstr>Global Sports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Singh</cp:lastModifiedBy>
  <dcterms:created xsi:type="dcterms:W3CDTF">2025-12-21T16:58:33Z</dcterms:created>
  <dcterms:modified xsi:type="dcterms:W3CDTF">2026-01-15T08:51:18Z</dcterms:modified>
</cp:coreProperties>
</file>